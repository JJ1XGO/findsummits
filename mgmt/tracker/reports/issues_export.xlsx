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'収束グラフ'!$A$2:$A$37</f>
            </strRef>
          </cat>
          <val>
            <numRef>
              <f>'収束グラフ'!$B$2:$B$37</f>
            </numRef>
          </val>
        </ser>
        <ser>
          <idx val="1"/>
          <order val="1"/>
          <tx>
            <strRef>
              <f>'収束グラフ'!C1</f>
            </strRef>
          </tx>
          <spPr>
            <a:ln w="20000">
              <a:solidFill>
                <a:srgbClr val="4472C4"/>
              </a:solidFill>
              <a:prstDash val="solid"/>
            </a:ln>
          </spPr>
          <marker>
            <symbol val="none"/>
            <spPr>
              <a:ln>
                <a:prstDash val="solid"/>
              </a:ln>
            </spPr>
          </marker>
          <cat>
            <strRef>
              <f>'収束グラフ'!$A$2:$A$37</f>
            </strRef>
          </cat>
          <val>
            <numRef>
              <f>'収束グラフ'!$C$2:$C$37</f>
            </numRef>
          </val>
        </ser>
        <ser>
          <idx val="2"/>
          <order val="2"/>
          <tx>
            <strRef>
              <f>'収束グラフ'!D1</f>
            </strRef>
          </tx>
          <spPr>
            <a:ln w="20000">
              <a:solidFill>
                <a:srgbClr val="70AD47"/>
              </a:solidFill>
              <a:prstDash val="solid"/>
            </a:ln>
          </spPr>
          <marker>
            <symbol val="none"/>
            <spPr>
              <a:ln>
                <a:prstDash val="solid"/>
              </a:ln>
            </spPr>
          </marker>
          <cat>
            <strRef>
              <f>'収束グラフ'!$A$2:$A$37</f>
            </strRef>
          </cat>
          <val>
            <numRef>
              <f>'収束グラフ'!$D$2:$D$37</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ADR-SRS-011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対応完了</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is>
          <t>2026-05-28</t>
        </is>
      </c>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6" t="inlineStr">
        <is>
          <t>ISSUE-057</t>
        </is>
      </c>
      <c r="B58" s="6" t="inlineStr">
        <is>
          <t>SRS 機能要件セクション: 各 FR を統一フォーマット（対応UR/概要/入力/出力/詳細）に整理</t>
        </is>
      </c>
      <c r="C58" s="6"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6" t="inlineStr">
        <is>
          <t>改善</t>
        </is>
      </c>
      <c r="E58" s="4" t="inlineStr">
        <is>
          <t>中</t>
        </is>
      </c>
      <c r="F58" s="6" t="inlineStr">
        <is>
          <t>その他</t>
        </is>
      </c>
      <c r="G58" s="6" t="inlineStr"/>
      <c r="H58" s="6" t="inlineStr">
        <is>
          <t>2026-05-29</t>
        </is>
      </c>
      <c r="I58" s="6" t="inlineStr">
        <is>
          <t>SRS</t>
        </is>
      </c>
      <c r="J58" s="6" t="inlineStr">
        <is>
          <t>SRS</t>
        </is>
      </c>
      <c r="K58" s="6" t="inlineStr">
        <is>
          <t>対応完了</t>
        </is>
      </c>
      <c r="L58" s="6" t="inlineStr"/>
      <c r="M58" s="6" t="inlineStr"/>
      <c r="N58" s="6" t="inlineStr">
        <is>
          <t>形式・入出力欄の扱いはユーザーと事前合意済み（plan.md 参照）。20 FR 各々の概要・入力・出力は plan.md の表で確定済み。</t>
        </is>
      </c>
      <c r="O58" s="6" t="inlineStr">
        <is>
          <t>2026-05-29</t>
        </is>
      </c>
      <c r="P58" s="6" t="inlineStr"/>
    </row>
    <row r="59" ht="40" customHeight="1">
      <c r="A59" s="7" t="inlineStr">
        <is>
          <t>ISSUE-058</t>
        </is>
      </c>
      <c r="B59" s="7" t="inlineStr">
        <is>
          <t>SRS: ステップ廃止・フェーズ5新設・FR-013分割・FR-019/020追加</t>
        </is>
      </c>
      <c r="C59" s="7" t="inlineStr"/>
      <c r="D59" s="7" t="inlineStr">
        <is>
          <t>改善</t>
        </is>
      </c>
      <c r="E59" s="3" t="inlineStr">
        <is>
          <t>高</t>
        </is>
      </c>
      <c r="F59" s="7" t="inlineStr"/>
      <c r="G59" s="7" t="inlineStr"/>
      <c r="H59" s="7" t="inlineStr">
        <is>
          <t>2026-05-29</t>
        </is>
      </c>
      <c r="I59" s="7" t="inlineStr">
        <is>
          <t>SRS</t>
        </is>
      </c>
      <c r="J59" s="7" t="inlineStr"/>
      <c r="K59" s="7" t="inlineStr">
        <is>
          <t>対応完了</t>
        </is>
      </c>
      <c r="L59" s="7" t="inlineStr"/>
      <c r="M59" s="7" t="inlineStr"/>
      <c r="N59" s="7" t="inlineStr">
        <is>
          <t>ステップ層撤廃・フェーズ3.5内包・FR-013をビューア生成仕様(残置)とビューア機能仕様(FR-019新規)に分割・フェーズ5:申請書生成新設(FR-019/011/012/020)・公開用HTML生成FR-020新規追加。詳細: mgmt/plan.md</t>
        </is>
      </c>
      <c r="O59" s="7" t="inlineStr">
        <is>
          <t>2026-05-29</t>
        </is>
      </c>
      <c r="P59" s="7" t="inlineStr"/>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6" t="inlineStr">
        <is>
          <t>ISSUE-061</t>
        </is>
      </c>
      <c r="B62" s="6" t="inlineStr">
        <is>
          <t>SRS merged.csv 命名整理（merged_peak.csv / merged_summit.csv 導入）</t>
        </is>
      </c>
      <c r="C62" s="6"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6" t="inlineStr">
        <is>
          <t>改善</t>
        </is>
      </c>
      <c r="E62" s="3" t="inlineStr">
        <is>
          <t>高</t>
        </is>
      </c>
      <c r="F62" s="6" t="inlineStr">
        <is>
          <t>merge.py</t>
        </is>
      </c>
      <c r="G62" s="6" t="inlineStr"/>
      <c r="H62" s="6" t="inlineStr">
        <is>
          <t>2026-05-29</t>
        </is>
      </c>
      <c r="I62" s="6" t="inlineStr">
        <is>
          <t>SRS</t>
        </is>
      </c>
      <c r="J62" s="6" t="inlineStr"/>
      <c r="K62" s="6" t="inlineStr">
        <is>
          <t>対応完了</t>
        </is>
      </c>
      <c r="L62" s="6" t="inlineStr"/>
      <c r="M62" s="6" t="inlineStr">
        <is>
          <t>docs/02_SRS.md を改訂。§3.3 俯瞰図・FR-008/FR-009/FR-014/FR-012 出力欄・§6 成果物一覧をすべて新命名に更新</t>
        </is>
      </c>
      <c r="N62" s="6" t="inlineStr"/>
      <c r="O62" s="6" t="inlineStr">
        <is>
          <t>2026-05-29</t>
        </is>
      </c>
      <c r="P62" s="6" t="inlineStr"/>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7" t="inlineStr">
        <is>
          <t>ISSUE-064</t>
        </is>
      </c>
      <c r="B65" s="7" t="inlineStr">
        <is>
          <t>パイプライン: gsi_tile_latest_date を merged.geojson.metadata に格納</t>
        </is>
      </c>
      <c r="C65" s="7" t="inlineStr"/>
      <c r="D65" s="7" t="inlineStr">
        <is>
          <t>改善</t>
        </is>
      </c>
      <c r="E65" s="3" t="inlineStr">
        <is>
          <t>高</t>
        </is>
      </c>
      <c r="F65" s="7" t="inlineStr">
        <is>
          <t>merge.py</t>
        </is>
      </c>
      <c r="G65" s="7" t="inlineStr"/>
      <c r="H65" s="7" t="inlineStr">
        <is>
          <t>2026-05-31</t>
        </is>
      </c>
      <c r="I65" s="7" t="inlineStr"/>
      <c r="J65" s="7" t="inlineStr"/>
      <c r="K65" s="7" t="inlineStr">
        <is>
          <t>未対応</t>
        </is>
      </c>
      <c r="L65" s="7" t="inlineStr"/>
      <c r="M65" s="7" t="inlineStr">
        <is>
          <t>scripts/merge.py または scripts/prefetch_tiles.py でキャッシュタイルの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7" t="inlineStr">
        <is>
          <t>フォーマット規定: YYYY-MM-DD 形式（UTC）。ビューア表示時は末尾に (UTC) を付記すること。SRS FR-019 に明記済み（2026-05-31 更新）</t>
        </is>
      </c>
      <c r="O65" s="7" t="inlineStr"/>
      <c r="P65" s="7" t="inlineStr"/>
    </row>
    <row r="66" ht="40" customHeight="1">
      <c r="A66" s="6" t="inlineStr">
        <is>
          <t>ISSUE-065</t>
        </is>
      </c>
      <c r="B66" s="6" t="inlineStr">
        <is>
          <t>モックアップ「変更あり」フィルターを is_band_change_candidate ベースに統一</t>
        </is>
      </c>
      <c r="C66" s="6" t="inlineStr"/>
      <c r="D66" s="6" t="inlineStr">
        <is>
          <t>改善</t>
        </is>
      </c>
      <c r="E66" s="5" t="inlineStr">
        <is>
          <t>低</t>
        </is>
      </c>
      <c r="F66" s="6" t="inlineStr">
        <is>
          <t>その他</t>
        </is>
      </c>
      <c r="G66" s="6" t="inlineStr"/>
      <c r="H66" s="6" t="inlineStr">
        <is>
          <t>2026-05-31</t>
        </is>
      </c>
      <c r="I66" s="6" t="inlineStr"/>
      <c r="J66" s="6" t="inlineStr"/>
      <c r="K66" s="6" t="inlineStr">
        <is>
          <t>未対応</t>
        </is>
      </c>
      <c r="L66" s="6" t="inlineStr"/>
      <c r="M66" s="6" t="inlineStr">
        <is>
          <t>viewer_mockup.html の「変更あり」フィルター判定を localStorage 保存ありから is_band_change_candidate=true ベースに変更する。SRS 定義（FR-012 / FR-021）との整合を取る。</t>
        </is>
      </c>
      <c r="N66" s="6" t="inlineStr"/>
      <c r="O66" s="6" t="inlineStr"/>
      <c r="P66" s="6" t="inlineStr"/>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c r="J67" s="7" t="inlineStr"/>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6" t="inlineStr">
        <is>
          <t>ISSUE-067</t>
        </is>
      </c>
      <c r="B68" s="6" t="inlineStr">
        <is>
          <t>国土地理院タイル出典表示の整備</t>
        </is>
      </c>
      <c r="C68" s="6" t="inlineStr"/>
      <c r="D68" s="6" t="inlineStr"/>
      <c r="E68" s="4" t="inlineStr">
        <is>
          <t>中</t>
        </is>
      </c>
      <c r="F68" s="6" t="inlineStr"/>
      <c r="G68" s="6" t="inlineStr"/>
      <c r="H68" s="6" t="inlineStr">
        <is>
          <t>2026-05-31</t>
        </is>
      </c>
      <c r="I68" s="6" t="inlineStr">
        <is>
          <t>SRS</t>
        </is>
      </c>
      <c r="J68" s="6" t="inlineStr"/>
      <c r="K68" s="6" t="inlineStr">
        <is>
          <t>対応完了</t>
        </is>
      </c>
      <c r="L68" s="6" t="inlineStr"/>
      <c r="M68" s="6" t="inlineStr"/>
      <c r="N68" s="6" t="inlineStr">
        <is>
          <t>UR-011 新設（URD）、FR-013/FR-012/FR-021 出典要件追加（SRS）、ADR-URD-014 作成済み。実装対象: README / output_geojson.py / merge.py / viewer_mockup.html XLSX出力。ADR-URD-014 参照: docs/decisions/ADR-URD-014-gsi-tile-attribution-policy.md</t>
        </is>
      </c>
      <c r="O68" s="6" t="inlineStr">
        <is>
          <t>2026-05-31</t>
        </is>
      </c>
      <c r="P68" s="6" t="inlineStr"/>
    </row>
    <row r="69" ht="40" customHeight="1">
      <c r="A69" s="7" t="inlineStr">
        <is>
          <t>ISSUE-068</t>
        </is>
      </c>
      <c r="B69" s="7" t="inlineStr">
        <is>
          <t>SRS パラメータ・引数の記述統一</t>
        </is>
      </c>
      <c r="C69" s="7"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7" t="inlineStr">
        <is>
          <t>改善</t>
        </is>
      </c>
      <c r="E69" s="4" t="inlineStr">
        <is>
          <t>中</t>
        </is>
      </c>
      <c r="F69" s="7" t="inlineStr">
        <is>
          <t>その他</t>
        </is>
      </c>
      <c r="G69" s="7" t="inlineStr"/>
      <c r="H69" s="7" t="inlineStr">
        <is>
          <t>2026-05-31</t>
        </is>
      </c>
      <c r="I69" s="7" t="inlineStr">
        <is>
          <t>SRS</t>
        </is>
      </c>
      <c r="J69" s="7" t="inlineStr">
        <is>
          <t>SRS</t>
        </is>
      </c>
      <c r="K69" s="7" t="inlineStr">
        <is>
          <t>対応完了</t>
        </is>
      </c>
      <c r="L69" s="7" t="inlineStr"/>
      <c r="M69" s="7" t="inlineStr">
        <is>
          <t>Phase A: ADR-SRS-014 起案 / Phase B: 02_SRS.md にデータ辞書セクション・テンプレ追加 / Phase C: 既存 FR を新テンプレへ移行（FR-004/008/001 で先行確認）/ Phase D: 00_GLOSSARY.md 同期</t>
        </is>
      </c>
      <c r="N69" s="7" t="inlineStr">
        <is>
          <t>計画ファイル: mgmt/plan.md（srs-nifty-tarjan）</t>
        </is>
      </c>
      <c r="O69" s="7" t="inlineStr">
        <is>
          <t>2026-05-31</t>
        </is>
      </c>
      <c r="P69" s="7" t="inlineStr"/>
    </row>
    <row r="70" ht="40" customHeight="1">
      <c r="A70" s="6" t="inlineStr">
        <is>
          <t>ISSUE-069</t>
        </is>
      </c>
      <c r="B70" s="6" t="inlineStr">
        <is>
          <t>SRS データ辞書の網羅性向上・FR 名称統一・ADR-SRS-014 規約 5 追加</t>
        </is>
      </c>
      <c r="C70" s="6" t="inlineStr"/>
      <c r="D70" s="6" t="inlineStr">
        <is>
          <t>改善</t>
        </is>
      </c>
      <c r="E70" s="3" t="inlineStr">
        <is>
          <t>高</t>
        </is>
      </c>
      <c r="F70" s="6" t="inlineStr"/>
      <c r="G70" s="6" t="inlineStr"/>
      <c r="H70" s="6" t="inlineStr">
        <is>
          <t>2026-06-01</t>
        </is>
      </c>
      <c r="I70" s="6" t="inlineStr">
        <is>
          <t>SRS</t>
        </is>
      </c>
      <c r="J70" s="6" t="inlineStr"/>
      <c r="K70" s="6" t="inlineStr">
        <is>
          <t>対応完了</t>
        </is>
      </c>
      <c r="L70" s="6" t="inlineStr"/>
      <c r="M70" s="6" t="inlineStr"/>
      <c r="N70" s="6" t="inlineStr">
        <is>
          <t>データ辞書(3.4→2.2)移動、中間データ登録、全21FR入出力テーブル辞書名統一、ADR-SRS-014規約5追加</t>
        </is>
      </c>
      <c r="O70" s="6" t="inlineStr">
        <is>
          <t>2026-06-01</t>
        </is>
      </c>
      <c r="P70" s="6" t="inlineStr"/>
    </row>
  </sheetData>
  <dataValidations count="5">
    <dataValidation sqref="K2:K70" showDropDown="0" showInputMessage="0" showErrorMessage="0" allowBlank="1" type="list">
      <formula1>"未対応,対応中,対応完了,解決済,却下"</formula1>
    </dataValidation>
    <dataValidation sqref="E2:E70" showDropDown="0" showInputMessage="0" showErrorMessage="0" allowBlank="1" type="list">
      <formula1>"高,中,低"</formula1>
    </dataValidation>
    <dataValidation sqref="D2:D70" showDropDown="0" showInputMessage="0" showErrorMessage="0" allowBlank="1" type="list">
      <formula1>"機能追加,改善,調査,設計"</formula1>
    </dataValidation>
    <dataValidation sqref="I2:I70" showDropDown="0" showInputMessage="0" showErrorMessage="0" allowBlank="1" type="list">
      <formula1>"URD,SRS,HLD,LLD,COD,UT,IT,ST,OPS"</formula1>
    </dataValidation>
    <dataValidation sqref="J2:J70"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69</v>
      </c>
    </row>
    <row r="3">
      <c r="A3" s="10" t="inlineStr">
        <is>
          <t>未解決件数</t>
        </is>
      </c>
      <c r="B3" s="11" t="n">
        <v>35</v>
      </c>
    </row>
    <row r="4">
      <c r="A4" s="10" t="inlineStr">
        <is>
          <t>解決済件数</t>
        </is>
      </c>
      <c r="B4" s="11" t="n">
        <v>28</v>
      </c>
    </row>
    <row r="5">
      <c r="A5" s="10" t="inlineStr">
        <is>
          <t>解決率</t>
        </is>
      </c>
      <c r="B5" s="11" t="inlineStr">
        <is>
          <t>40.6%</t>
        </is>
      </c>
    </row>
    <row r="7">
      <c r="A7" s="8" t="inlineStr">
        <is>
          <t>ステータス別</t>
        </is>
      </c>
      <c r="B7" s="9" t="n"/>
    </row>
    <row r="8">
      <c r="A8" s="10" t="inlineStr">
        <is>
          <t>未対応</t>
        </is>
      </c>
      <c r="B8" s="11" t="n">
        <v>25</v>
      </c>
    </row>
    <row r="9">
      <c r="A9" s="10" t="inlineStr">
        <is>
          <t>対応中</t>
        </is>
      </c>
      <c r="B9" s="11" t="n">
        <v>0</v>
      </c>
    </row>
    <row r="10">
      <c r="A10" s="10" t="inlineStr">
        <is>
          <t>対応完了</t>
        </is>
      </c>
      <c r="B10" s="11" t="n">
        <v>10</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15</v>
      </c>
    </row>
    <row r="16">
      <c r="A16" s="10" t="inlineStr">
        <is>
          <t>中</t>
        </is>
      </c>
      <c r="B16" s="11" t="n">
        <v>13</v>
      </c>
    </row>
    <row r="17">
      <c r="A17" s="10" t="inlineStr">
        <is>
          <t>低</t>
        </is>
      </c>
      <c r="B17" s="11" t="n">
        <v>7</v>
      </c>
    </row>
    <row r="19">
      <c r="A19" s="8" t="inlineStr">
        <is>
          <t>種別別（未解決）</t>
        </is>
      </c>
      <c r="B19" s="9" t="n"/>
    </row>
    <row r="20">
      <c r="A20" s="10" t="inlineStr">
        <is>
          <t>機能追加</t>
        </is>
      </c>
      <c r="B20" s="11" t="n">
        <v>8</v>
      </c>
    </row>
    <row r="21">
      <c r="A21" s="10" t="inlineStr">
        <is>
          <t>改善</t>
        </is>
      </c>
      <c r="B21" s="11" t="n">
        <v>23</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6</v>
      </c>
    </row>
    <row r="28">
      <c r="A28" s="10" t="inlineStr">
        <is>
          <t>GeoJSON出力</t>
        </is>
      </c>
      <c r="B28" s="11" t="n">
        <v>3</v>
      </c>
    </row>
    <row r="29">
      <c r="A29" s="10" t="inlineStr">
        <is>
          <t>設定</t>
        </is>
      </c>
      <c r="B29" s="11" t="n">
        <v>1</v>
      </c>
    </row>
    <row r="30">
      <c r="A30" s="10" t="inlineStr">
        <is>
          <t>その他</t>
        </is>
      </c>
      <c r="B30" s="11" t="n">
        <v>10</v>
      </c>
    </row>
    <row r="32">
      <c r="A32" s="8" t="inlineStr">
        <is>
          <t>ステージ別（未解決）</t>
        </is>
      </c>
      <c r="B32" s="9" t="n"/>
    </row>
    <row r="33">
      <c r="A33" s="10" t="inlineStr">
        <is>
          <t>URD</t>
        </is>
      </c>
      <c r="B33" s="11" t="n">
        <v>1</v>
      </c>
    </row>
    <row r="34">
      <c r="A34" s="10" t="inlineStr">
        <is>
          <t>SRS</t>
        </is>
      </c>
      <c r="B34" s="11" t="n">
        <v>22</v>
      </c>
    </row>
    <row r="35">
      <c r="A35" s="10" t="inlineStr">
        <is>
          <t>HLD</t>
        </is>
      </c>
      <c r="B35" s="11" t="n">
        <v>1</v>
      </c>
    </row>
    <row r="36">
      <c r="A36" s="10" t="inlineStr">
        <is>
          <t>COD</t>
        </is>
      </c>
      <c r="B36" s="11" t="n">
        <v>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7"/>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row r="31">
      <c r="A31" t="inlineStr">
        <is>
          <t>2026-05-26</t>
        </is>
      </c>
      <c r="B31" t="n">
        <v>56</v>
      </c>
      <c r="C31" t="n">
        <v>35</v>
      </c>
      <c r="D31" t="n">
        <v>34</v>
      </c>
    </row>
    <row r="32">
      <c r="A32" t="inlineStr">
        <is>
          <t>2026-05-27</t>
        </is>
      </c>
      <c r="B32" t="n">
        <v>56</v>
      </c>
      <c r="C32" t="n">
        <v>35</v>
      </c>
      <c r="D32" t="n">
        <v>34</v>
      </c>
    </row>
    <row r="33">
      <c r="A33" t="inlineStr">
        <is>
          <t>2026-05-28</t>
        </is>
      </c>
      <c r="B33" t="n">
        <v>56</v>
      </c>
      <c r="C33" t="n">
        <v>36</v>
      </c>
      <c r="D33" t="n">
        <v>34</v>
      </c>
    </row>
    <row r="34">
      <c r="A34" t="inlineStr">
        <is>
          <t>2026-05-29</t>
        </is>
      </c>
      <c r="B34" t="n">
        <v>62</v>
      </c>
      <c r="C34" t="n">
        <v>39</v>
      </c>
      <c r="D34" t="n">
        <v>34</v>
      </c>
    </row>
    <row r="35">
      <c r="A35" t="inlineStr">
        <is>
          <t>2026-05-30</t>
        </is>
      </c>
      <c r="B35" t="n">
        <v>62</v>
      </c>
      <c r="C35" t="n">
        <v>39</v>
      </c>
      <c r="D35" t="n">
        <v>34</v>
      </c>
    </row>
    <row r="36">
      <c r="A36" t="inlineStr">
        <is>
          <t>2026-05-31</t>
        </is>
      </c>
      <c r="B36" t="n">
        <v>68</v>
      </c>
      <c r="C36" t="n">
        <v>41</v>
      </c>
      <c r="D36" t="n">
        <v>34</v>
      </c>
    </row>
    <row r="37">
      <c r="A37" t="inlineStr">
        <is>
          <t>2026-06-01</t>
        </is>
      </c>
      <c r="B37" t="n">
        <v>69</v>
      </c>
      <c r="C37" t="n">
        <v>42</v>
      </c>
      <c r="D37"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2026-06-01T08:08:50Z</dcterms:created>
  <dcterms:modified xsi:type="dcterms:W3CDTF">2026-06-01T08:08:50Z</dcterms:modified>
</cp:coreProperties>
</file>