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EBF3FB"/>
      </patternFill>
    </fill>
    <fill>
      <patternFill patternType="solid">
        <fgColor rgb="00FFFBE0"/>
      </patternFill>
    </fill>
    <fill>
      <patternFill patternType="solid">
        <fgColor rgb="00E8F5E9"/>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2" fillId="5" borderId="1" applyAlignment="1" pivotButton="0" quotePrefix="0" xfId="0">
      <alignment horizontal="left" vertical="center" wrapText="1"/>
    </xf>
    <xf numFmtId="0" fontId="3" fillId="6" borderId="1" applyAlignment="1" pivotButton="0" quotePrefix="0" xfId="0">
      <alignment horizontal="left" vertical="center" wrapText="1"/>
    </xf>
    <xf numFmtId="0" fontId="3"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'収束グラフ'!$A$2:$A$27</f>
            </strRef>
          </cat>
          <val>
            <numRef>
              <f>'収束グラフ'!$B$2:$B$27</f>
            </numRef>
          </val>
        </ser>
        <ser>
          <idx val="1"/>
          <order val="1"/>
          <tx>
            <strRef>
              <f>'収束グラフ'!C1</f>
            </strRef>
          </tx>
          <spPr>
            <a:ln w="20000">
              <a:solidFill>
                <a:srgbClr val="4472C4"/>
              </a:solidFill>
              <a:prstDash val="solid"/>
            </a:ln>
          </spPr>
          <marker>
            <symbol val="none"/>
            <spPr>
              <a:ln>
                <a:prstDash val="solid"/>
              </a:ln>
            </spPr>
          </marker>
          <cat>
            <strRef>
              <f>'収束グラフ'!$A$2:$A$27</f>
            </strRef>
          </cat>
          <val>
            <numRef>
              <f>'収束グラフ'!$C$2:$C$27</f>
            </numRef>
          </val>
        </ser>
        <ser>
          <idx val="2"/>
          <order val="2"/>
          <tx>
            <strRef>
              <f>'収束グラフ'!D1</f>
            </strRef>
          </tx>
          <spPr>
            <a:ln w="20000">
              <a:solidFill>
                <a:srgbClr val="70AD47"/>
              </a:solidFill>
              <a:prstDash val="solid"/>
            </a:ln>
          </spPr>
          <marker>
            <symbol val="none"/>
            <spPr>
              <a:ln>
                <a:prstDash val="solid"/>
              </a:ln>
            </spPr>
          </marker>
          <cat>
            <strRef>
              <f>'収束グラフ'!$A$2:$A$27</f>
            </strRef>
          </cat>
          <val>
            <numRef>
              <f>'収束グラフ'!$D$2:$D$27</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O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2" customWidth="1" min="10" max="10"/>
    <col width="14" customWidth="1" min="11" max="11"/>
    <col width="30" customWidth="1" min="12" max="12"/>
    <col width="30" customWidth="1" min="13" max="13"/>
    <col width="14" customWidth="1" min="14" max="14"/>
    <col width="14" customWidth="1" min="15" max="15"/>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ステータス</t>
        </is>
      </c>
      <c r="K1" s="1" t="inlineStr">
        <is>
          <t>担当者</t>
        </is>
      </c>
      <c r="L1" s="1" t="inlineStr">
        <is>
          <t>対応方針</t>
        </is>
      </c>
      <c r="M1" s="1" t="inlineStr">
        <is>
          <t>備考</t>
        </is>
      </c>
      <c r="N1" s="1" t="inlineStr">
        <is>
          <t>対応完了日</t>
        </is>
      </c>
      <c r="O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is>
          <t>解決済</t>
        </is>
      </c>
      <c r="K2" s="2" t="inlineStr">
        <is>
          <t>JJ1XGO</t>
        </is>
      </c>
      <c r="L2" s="2" t="inlineStr">
        <is>
          <t>python3 scripts/merge.py --mesh-list params/mesh_5339_neighbors.txt を実行して結果確認</t>
        </is>
      </c>
      <c r="M2" s="2" t="inlineStr">
        <is>
          <t>ステップ1（prefetch）・ステップ2（findsummits 9メッシュ解析）は完了済み</t>
        </is>
      </c>
      <c r="N2" s="2" t="inlineStr">
        <is>
          <t>2026-04-26</t>
        </is>
      </c>
      <c r="O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is>
          <t>却下</t>
        </is>
      </c>
      <c r="K3" s="2" t="inlineStr">
        <is>
          <t>JJ1XGO</t>
        </is>
      </c>
      <c r="L3" s="2" t="inlineStr"/>
      <c r="M3" s="2" t="inlineStr">
        <is>
          <t>ISSUE-001（ステップ3検証）の後に着手。突合列: match_status, summit_code, summit_name, peak_lat, peak_lon, peak_elev, col_lat, col_lon, col_elev, prominence, orig_lat, orig_lon, orig_elev</t>
        </is>
      </c>
      <c r="N3" s="2" t="inlineStr">
        <is>
          <t>2026-05-17</t>
        </is>
      </c>
      <c r="O3" s="2" t="inlineStr">
        <is>
          <t>2026-05-17</t>
        </is>
      </c>
    </row>
    <row r="4" ht="40" customHeight="1">
      <c r="A4" s="4" t="inlineStr">
        <is>
          <t>ISSUE-003</t>
        </is>
      </c>
      <c r="B4" s="4" t="inlineStr">
        <is>
          <t>output_xlsx.py 新規作成（申請用XLSX生成）</t>
        </is>
      </c>
      <c r="C4" s="4" t="inlineStr">
        <is>
          <t>openpyxl で SOTA申請用 XLSX を生成するスクリプト。新規シート(NEW)・変更シート(MOVED/ELEV_CHANGE)・削除シート(DELETED)・変更なしシート(MATCH)の4シート構成。prominence &lt; 150m の行は黄色ハイライト。</t>
        </is>
      </c>
      <c r="D4" s="4" t="inlineStr">
        <is>
          <t>機能追加</t>
        </is>
      </c>
      <c r="E4" s="3" t="inlineStr">
        <is>
          <t>高</t>
        </is>
      </c>
      <c r="F4" s="4" t="inlineStr">
        <is>
          <t>その他</t>
        </is>
      </c>
      <c r="G4" s="4" t="inlineStr">
        <is>
          <t>JJ1XGO</t>
        </is>
      </c>
      <c r="H4" s="4" t="inlineStr">
        <is>
          <t>2026-04-27</t>
        </is>
      </c>
      <c r="I4" s="4" t="inlineStr">
        <is>
          <t>COD</t>
        </is>
      </c>
      <c r="J4" s="4" t="inlineStr">
        <is>
          <t>未対応</t>
        </is>
      </c>
      <c r="K4" s="4" t="inlineStr">
        <is>
          <t>JJ1XGO</t>
        </is>
      </c>
      <c r="L4" s="4" t="inlineStr"/>
      <c r="M4" s="4"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N4" s="4" t="inlineStr"/>
      <c r="O4" s="4" t="inlineStr"/>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5" t="inlineStr">
        <is>
          <t>中</t>
        </is>
      </c>
      <c r="F5" s="2" t="inlineStr">
        <is>
          <t>GeoJSON出力</t>
        </is>
      </c>
      <c r="G5" s="2" t="inlineStr">
        <is>
          <t>JJ1XGO</t>
        </is>
      </c>
      <c r="H5" s="2" t="inlineStr">
        <is>
          <t>2026-04-27</t>
        </is>
      </c>
      <c r="I5" s="2" t="inlineStr">
        <is>
          <t>COD</t>
        </is>
      </c>
      <c r="J5" s="2" t="inlineStr">
        <is>
          <t>解決済</t>
        </is>
      </c>
      <c r="K5" s="2" t="inlineStr">
        <is>
          <t>JJ1XGO</t>
        </is>
      </c>
      <c r="L5" s="2" t="inlineStr"/>
      <c r="M5" s="2" t="inlineStr">
        <is>
          <t>SOTA スコア別色（MATCHのみ）: 10点=赤, 8点=黄, 6点=緑, 4点=シアン, 2点=青, 1点=紫</t>
        </is>
      </c>
      <c r="N5" s="2" t="inlineStr">
        <is>
          <t>2026-04-27</t>
        </is>
      </c>
      <c r="O5" s="2" t="inlineStr">
        <is>
          <t>2026-04-27</t>
        </is>
      </c>
    </row>
    <row r="6" ht="40" customHeight="1">
      <c r="A6" s="4" t="inlineStr">
        <is>
          <t>ISSUE-005</t>
        </is>
      </c>
      <c r="B6" s="4" t="inlineStr">
        <is>
          <t>九州・四国メッシュでの統合テスト</t>
        </is>
      </c>
      <c r="C6" s="4" t="inlineStr">
        <is>
          <t>フルパイプ検証（9メッシュ）が通った後、九州・四国メッシュで end-to-end テストを実施。findsummits4sotaja の過去結果（sotaJA_SummitPeakCol_All5.xlsx）と比較。許容差: ピーク座標 ±100m、標高 ±5m、プロミネンス ±20m。</t>
        </is>
      </c>
      <c r="D6" s="4" t="inlineStr">
        <is>
          <t>調査</t>
        </is>
      </c>
      <c r="E6" s="5" t="inlineStr">
        <is>
          <t>中</t>
        </is>
      </c>
      <c r="F6" s="4" t="inlineStr">
        <is>
          <t>解析エンジン</t>
        </is>
      </c>
      <c r="G6" s="4" t="inlineStr">
        <is>
          <t>JJ1XGO</t>
        </is>
      </c>
      <c r="H6" s="4" t="inlineStr">
        <is>
          <t>2026-04-27</t>
        </is>
      </c>
      <c r="I6" s="4" t="inlineStr">
        <is>
          <t>ST</t>
        </is>
      </c>
      <c r="J6" s="4" t="inlineStr">
        <is>
          <t>未対応</t>
        </is>
      </c>
      <c r="K6" s="4" t="inlineStr">
        <is>
          <t>JJ1XGO</t>
        </is>
      </c>
      <c r="L6" s="4" t="inlineStr"/>
      <c r="M6" s="4" t="inlineStr">
        <is>
          <t>複数メッシュ境界付近の既知の山が GeoJSON で正しく1件表示されることも確認。DEM5なしメッシュの DEM10 フォールバック結果の妥当性も確認。</t>
        </is>
      </c>
      <c r="N6" s="4" t="inlineStr"/>
      <c r="O6" s="4" t="inlineStr"/>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5" t="inlineStr">
        <is>
          <t>中</t>
        </is>
      </c>
      <c r="F7" s="2" t="inlineStr">
        <is>
          <t>merge.py</t>
        </is>
      </c>
      <c r="G7" s="2" t="inlineStr">
        <is>
          <t>JJ1XGO</t>
        </is>
      </c>
      <c r="H7" s="2" t="inlineStr">
        <is>
          <t>2026-04-27</t>
        </is>
      </c>
      <c r="I7" s="2" t="inlineStr">
        <is>
          <t>IT</t>
        </is>
      </c>
      <c r="J7" s="2" t="inlineStr">
        <is>
          <t>却下</t>
        </is>
      </c>
      <c r="K7" s="2" t="inlineStr">
        <is>
          <t>JJ1XGO</t>
        </is>
      </c>
      <c r="L7" s="2" t="inlineStr"/>
      <c r="M7" s="2" t="inlineStr">
        <is>
          <t>ISSUE-001 完了後に着手</t>
        </is>
      </c>
      <c r="N7" s="2" t="inlineStr">
        <is>
          <t>2026-05-17</t>
        </is>
      </c>
      <c r="O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6" t="inlineStr">
        <is>
          <t>低</t>
        </is>
      </c>
      <c r="F8" s="2" t="inlineStr">
        <is>
          <t>その他</t>
        </is>
      </c>
      <c r="G8" s="2" t="inlineStr">
        <is>
          <t>JJ1XGO</t>
        </is>
      </c>
      <c r="H8" s="2" t="inlineStr">
        <is>
          <t>2026-04-27</t>
        </is>
      </c>
      <c r="I8" s="2" t="inlineStr">
        <is>
          <t>OPS</t>
        </is>
      </c>
      <c r="J8" s="2" t="inlineStr">
        <is>
          <t>却下</t>
        </is>
      </c>
      <c r="K8" s="2" t="inlineStr">
        <is>
          <t>JJ1XGO</t>
        </is>
      </c>
      <c r="L8" s="2" t="inlineStr"/>
      <c r="M8" s="2" t="inlineStr">
        <is>
          <t>フルパイプ検証前に仕様を詰めても実行時の問題で仕様変更になりやすいため後回し</t>
        </is>
      </c>
      <c r="N8" s="2" t="inlineStr">
        <is>
          <t>2026-05-17</t>
        </is>
      </c>
      <c r="O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is>
          <t>却下</t>
        </is>
      </c>
      <c r="K9" s="2" t="inlineStr">
        <is>
          <t>JJ1XGO</t>
        </is>
      </c>
      <c r="L9" s="2" t="inlineStr"/>
      <c r="M9" s="2" t="inlineStr">
        <is>
          <t>plan_v1.md: .claude/mgmt/plan_v1.md</t>
        </is>
      </c>
      <c r="N9" s="2" t="inlineStr">
        <is>
          <t>2026-05-17</t>
        </is>
      </c>
      <c r="O9" s="2" t="inlineStr">
        <is>
          <t>2026-05-17</t>
        </is>
      </c>
    </row>
    <row r="10" ht="40" customHeight="1">
      <c r="A10" s="4" t="inlineStr">
        <is>
          <t>ISSUE-009</t>
        </is>
      </c>
      <c r="B10" s="4" t="inlineStr">
        <is>
          <t>新規サミット仮コードへの地域コード自動付与</t>
        </is>
      </c>
      <c r="C10" s="4" t="inlineStr">
        <is>
          <t>現在は仮コードが ZZ/ZZ-001 形式の連番。座標から都道府県を判定し、SOTA JA のアソシエーション/リージョンコード（北海道・本州・四国・九州）を仮コードに反映できるか実装を検討する。</t>
        </is>
      </c>
      <c r="D10" s="4" t="inlineStr">
        <is>
          <t>機能追加</t>
        </is>
      </c>
      <c r="E10" s="6" t="inlineStr">
        <is>
          <t>低</t>
        </is>
      </c>
      <c r="F10" s="4" t="inlineStr">
        <is>
          <t>merge.py</t>
        </is>
      </c>
      <c r="G10" s="4" t="inlineStr">
        <is>
          <t>JJ1XGO</t>
        </is>
      </c>
      <c r="H10" s="4" t="inlineStr">
        <is>
          <t>2026-04-27</t>
        </is>
      </c>
      <c r="I10" s="4" t="inlineStr">
        <is>
          <t>HLD</t>
        </is>
      </c>
      <c r="J10" s="4" t="inlineStr">
        <is>
          <t>未対応</t>
        </is>
      </c>
      <c r="K10" s="4" t="inlineStr">
        <is>
          <t>JJ1XGO</t>
        </is>
      </c>
      <c r="L10" s="4" t="inlineStr"/>
      <c r="M10" s="4" t="inlineStr">
        <is>
          <t>将来実装候補。フルパイプ検証・申請用出力フェーズ完了後に検討。</t>
        </is>
      </c>
      <c r="N10" s="4" t="inlineStr"/>
      <c r="O10" s="4"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5" t="inlineStr">
        <is>
          <t>中</t>
        </is>
      </c>
      <c r="F11" s="2" t="inlineStr">
        <is>
          <t>設定</t>
        </is>
      </c>
      <c r="G11" s="2" t="inlineStr"/>
      <c r="H11" s="2" t="inlineStr">
        <is>
          <t>2026-04-28</t>
        </is>
      </c>
      <c r="I11" s="2" t="inlineStr">
        <is>
          <t>OPS</t>
        </is>
      </c>
      <c r="J11" s="2" t="inlineStr">
        <is>
          <t>解決済</t>
        </is>
      </c>
      <c r="K11" s="2" t="inlineStr">
        <is>
          <t>JJ1XGO</t>
        </is>
      </c>
      <c r="L11" s="2" t="inlineStr">
        <is>
          <t>requirements.txt・.gitignore・CLAUDE.md は小規模な編集。README.md は現状に合わせて内容を整理してから更新する</t>
        </is>
      </c>
      <c r="M11" s="2" t="inlineStr"/>
      <c r="N11" s="2" t="inlineStr">
        <is>
          <t>2026-05-17</t>
        </is>
      </c>
      <c r="O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5" t="inlineStr">
        <is>
          <t>中</t>
        </is>
      </c>
      <c r="F12" s="2" t="inlineStr">
        <is>
          <t>設定</t>
        </is>
      </c>
      <c r="G12" s="2" t="inlineStr"/>
      <c r="H12" s="2" t="inlineStr">
        <is>
          <t>2026-04-28</t>
        </is>
      </c>
      <c r="I12" s="2" t="inlineStr">
        <is>
          <t>OPS</t>
        </is>
      </c>
      <c r="J12" s="2" t="inlineStr">
        <is>
          <t>解決済</t>
        </is>
      </c>
      <c r="K12" s="2" t="inlineStr"/>
      <c r="L12" s="2" t="inlineStr">
        <is>
          <t>CLAUDE.mdのルールと制約セクションに追記</t>
        </is>
      </c>
      <c r="M12" s="2" t="inlineStr"/>
      <c r="N12" s="2" t="inlineStr">
        <is>
          <t>2026-04-28</t>
        </is>
      </c>
      <c r="O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5" t="inlineStr">
        <is>
          <t>中</t>
        </is>
      </c>
      <c r="F13" s="2" t="inlineStr"/>
      <c r="G13" s="2" t="inlineStr">
        <is>
          <t>JJ1XGO</t>
        </is>
      </c>
      <c r="H13" s="2" t="inlineStr">
        <is>
          <t>2026-05-08</t>
        </is>
      </c>
      <c r="I13" s="2" t="inlineStr">
        <is>
          <t>SRS</t>
        </is>
      </c>
      <c r="J13" s="2" t="inlineStr">
        <is>
          <t>解決済</t>
        </is>
      </c>
      <c r="K13" s="2" t="inlineStr"/>
      <c r="L13" s="2" t="inlineStr">
        <is>
          <t>スコープ外として対応しない。matched サミットの座標・標高変更は本プロジェクトでは自動識別しない。既存登録情報は概ね正しいと判断。URD UR-003・スコープ外セクションに反映済み。</t>
        </is>
      </c>
      <c r="M13" s="2" t="inlineStr"/>
      <c r="N13" s="2" t="inlineStr">
        <is>
          <t>2026-05-10</t>
        </is>
      </c>
      <c r="O13" s="2" t="inlineStr">
        <is>
          <t>2026-05-17</t>
        </is>
      </c>
    </row>
    <row r="14" ht="40" customHeight="1">
      <c r="A14" s="4" t="inlineStr">
        <is>
          <t>ISSUE-013</t>
        </is>
      </c>
      <c r="B14" s="4" t="inlineStr">
        <is>
          <t>prefetch_tiles.py の取得範囲を各メッシュの最小範囲に修正</t>
        </is>
      </c>
      <c r="C14" s="4"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4" t="inlineStr">
        <is>
          <t>改善</t>
        </is>
      </c>
      <c r="E14" s="5" t="inlineStr">
        <is>
          <t>中</t>
        </is>
      </c>
      <c r="F14" s="4" t="inlineStr"/>
      <c r="G14" s="4" t="inlineStr"/>
      <c r="H14" s="4" t="inlineStr">
        <is>
          <t>2026-05-08</t>
        </is>
      </c>
      <c r="I14" s="4" t="inlineStr">
        <is>
          <t>COD</t>
        </is>
      </c>
      <c r="J14" s="4" t="inlineStr">
        <is>
          <t>未対応</t>
        </is>
      </c>
      <c r="K14" s="4" t="inlineStr">
        <is>
          <t>JJ1XGO</t>
        </is>
      </c>
      <c r="L14" s="4" t="inlineStr"/>
      <c r="M14" s="4" t="inlineStr"/>
      <c r="N14" s="4" t="inlineStr"/>
      <c r="O14" s="4" t="inlineStr"/>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5" t="inlineStr">
        <is>
          <t>中</t>
        </is>
      </c>
      <c r="F15" s="2" t="inlineStr"/>
      <c r="G15" s="2" t="inlineStr"/>
      <c r="H15" s="2" t="inlineStr">
        <is>
          <t>2026-05-09</t>
        </is>
      </c>
      <c r="I15" s="2" t="inlineStr">
        <is>
          <t>SRS</t>
        </is>
      </c>
      <c r="J15" s="2" t="inlineStr">
        <is>
          <t>解決済</t>
        </is>
      </c>
      <c r="K15" s="2" t="inlineStr"/>
      <c r="L15" s="2" t="inlineStr">
        <is>
          <t>ADR-008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全体・ADR-004・ADR-008・GLOSSARY の全箇所を更新）。実装コード（src/*.c 等）への追従は別タスク（本 ISSUE のスコープ外）。</t>
        </is>
      </c>
      <c r="M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N15" s="2" t="inlineStr">
        <is>
          <t>2026-05-10</t>
        </is>
      </c>
      <c r="O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5" t="inlineStr">
        <is>
          <t>中</t>
        </is>
      </c>
      <c r="F16" s="2" t="inlineStr"/>
      <c r="G16" s="2" t="inlineStr"/>
      <c r="H16" s="2" t="inlineStr">
        <is>
          <t>2026-05-09</t>
        </is>
      </c>
      <c r="I16" s="2" t="inlineStr">
        <is>
          <t>SRS</t>
        </is>
      </c>
      <c r="J16" s="2" t="inlineStr">
        <is>
          <t>解決済</t>
        </is>
      </c>
      <c r="K16" s="2" t="inlineStr"/>
      <c r="L16" s="2" t="inlineStr">
        <is>
          <t>GitHub Pages 公開ツールからローカル用HTMLビューア（docs/mockup/viewer_mockup.html）に方針変更。山岳名JP/EN入力フォームとlocalStorage保存を実装。FR-013に仕様として取り込み済み。</t>
        </is>
      </c>
      <c r="M16" s="2" t="inlineStr"/>
      <c r="N16" s="2" t="inlineStr">
        <is>
          <t>2026-05-13</t>
        </is>
      </c>
      <c r="O16" s="2" t="inlineStr">
        <is>
          <t>2026-05-17</t>
        </is>
      </c>
    </row>
    <row r="17" ht="40" customHeight="1">
      <c r="A17" s="7" t="inlineStr">
        <is>
          <t>ISSUE-016</t>
        </is>
      </c>
      <c r="B17" s="7" t="inlineStr">
        <is>
          <t>merge.py: --mesh-list 指定時は対象メッシュの CSV のみ読み込む</t>
        </is>
      </c>
      <c r="C17" s="7"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7" t="inlineStr"/>
      <c r="E17" s="5" t="inlineStr">
        <is>
          <t>中</t>
        </is>
      </c>
      <c r="F17" s="7" t="inlineStr">
        <is>
          <t>merge.py</t>
        </is>
      </c>
      <c r="G17" s="7" t="inlineStr"/>
      <c r="H17" s="7" t="inlineStr">
        <is>
          <t>2026-05-09</t>
        </is>
      </c>
      <c r="I17" s="7" t="inlineStr">
        <is>
          <t>COD</t>
        </is>
      </c>
      <c r="J17" s="7" t="inlineStr">
        <is>
          <t>未対応</t>
        </is>
      </c>
      <c r="K17" s="7" t="inlineStr">
        <is>
          <t>Sonnet</t>
        </is>
      </c>
      <c r="L17" s="7" t="inlineStr"/>
      <c r="M17" s="7" t="inlineStr"/>
      <c r="N17" s="7" t="inlineStr"/>
      <c r="O17" s="7" t="inlineStr"/>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5" t="inlineStr">
        <is>
          <t>中</t>
        </is>
      </c>
      <c r="F18" s="2" t="inlineStr">
        <is>
          <t>merge.py</t>
        </is>
      </c>
      <c r="G18" s="2" t="inlineStr"/>
      <c r="H18" s="2" t="inlineStr">
        <is>
          <t>2026-05-09</t>
        </is>
      </c>
      <c r="I18" s="2" t="inlineStr">
        <is>
          <t>SRS</t>
        </is>
      </c>
      <c r="J18" s="2" t="inlineStr">
        <is>
          <t>解決済</t>
        </is>
      </c>
      <c r="K18" s="2" t="inlineStr"/>
      <c r="L18" s="2" t="inlineStr">
        <is>
          <t>SRS に FR-018（activation.geojson 統合ステップ）を新設。フェーズ3を FR-008 → FR-018 → FR-014 の構成に再設計し、FR-009 の前に統合済み activation.geojson が参照できるよう仕様化。コミット 5b633f5（2026-05-09）で対応完了。</t>
        </is>
      </c>
      <c r="M18" s="2" t="inlineStr"/>
      <c r="N18" s="2" t="inlineStr">
        <is>
          <t>2026-05-09</t>
        </is>
      </c>
      <c r="O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is>
          <t>解決済</t>
        </is>
      </c>
      <c r="K19" s="2" t="inlineStr"/>
      <c r="L19" s="2" t="inlineStr">
        <is>
          <t>FR-009 に以下を追記:
(1) 判定順序を明示: ①AZ 内に SOTA → matched, ②コル等高線内に SOTA → dominant, ③それ以外 → new
(2) sota_summit feature の match_status を独立定義:
   matched = FR-010 スコープ内で AZ にマッチ
   deleted = FR-010 スコープ内で AZ にマッチせず
(3) ADR-008 フォールバック時の peak.match_status と sota_summit の対応関係を明確化。案A（peak も dominant に昇格）または案B（peak の match_status は変えず sota_summit を独立扱い・FR-013 フィーチャ構成テーブルを更新）から選定。
(4) GLOSSARY に '削除候補（deleted）' を追加。
(5) ADR-007 / ADR-008 とも整合チェック。</t>
        </is>
      </c>
      <c r="M19" s="2" t="inlineStr"/>
      <c r="N19" s="2" t="inlineStr">
        <is>
          <t>2026-05-16</t>
        </is>
      </c>
      <c r="O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is>
          <t>解決済</t>
        </is>
      </c>
      <c r="K20" s="2" t="inlineStr"/>
      <c r="L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M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N20" s="2" t="inlineStr">
        <is>
          <t>2026-05-20</t>
        </is>
      </c>
      <c r="O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is>
          <t>解決済</t>
        </is>
      </c>
      <c r="K21" s="2" t="inlineStr"/>
      <c r="L21" s="2" t="inlineStr">
        <is>
          <t>delete判定ゾーンポリゴン方式（max(col_elev, peak_elev - delete_zone_max_drop) 以上の Flood Fill）を採用し、コル等高線ポリゴンを廃止。実装可能な仕様レベルまで確定。
Phase A 完了（SRS / ADR / GLOSSARY 改修）:
- ADR-011 (delete判定ゾーンポリゴン採用) 新規作成
- ADR-007 / ADR-008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M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ADR-007 維持（peak.match_status は matched/dominant/new、ポリゴンだけ置換）
- ADR-008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N21" s="2" t="inlineStr">
        <is>
          <t>2026-05-21</t>
        </is>
      </c>
      <c r="O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5" t="inlineStr">
        <is>
          <t>中</t>
        </is>
      </c>
      <c r="F22" s="2" t="inlineStr">
        <is>
          <t>merge.py</t>
        </is>
      </c>
      <c r="G22" s="2" t="inlineStr"/>
      <c r="H22" s="2" t="inlineStr">
        <is>
          <t>2026-05-14</t>
        </is>
      </c>
      <c r="I22" s="2" t="inlineStr">
        <is>
          <t>SRS</t>
        </is>
      </c>
      <c r="J22" s="2" t="inlineStr">
        <is>
          <t>解決済</t>
        </is>
      </c>
      <c r="K22" s="2" t="inlineStr"/>
      <c r="L22" s="2" t="inlineStr">
        <is>
          <t>FR-014 出力節に以下のいずれかを明示:
案A: 'per-mesh ファイルは更新せず、merged.csv / merged_activation.geojson のみ更新'
案B: '中間ファイルも更新する'（再現性向上のため）</t>
        </is>
      </c>
      <c r="M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FR-018、ADR-004 Decision「出力スコープ」</t>
        </is>
      </c>
      <c r="N22" s="2" t="inlineStr">
        <is>
          <t>2026-05-18</t>
        </is>
      </c>
      <c r="O22" s="2" t="inlineStr">
        <is>
          <t>2026-05-20</t>
        </is>
      </c>
    </row>
    <row r="23" ht="40" customHeight="1">
      <c r="A23" s="7" t="inlineStr">
        <is>
          <t>ISSUE-022</t>
        </is>
      </c>
      <c r="B23" s="7" t="inlineStr">
        <is>
          <t>FR-017: 北方領土タイル判定基準（タイル中心点）の明示</t>
        </is>
      </c>
      <c r="C23" s="7" t="inlineStr">
        <is>
          <t>URD/SRS レビュー指摘 M-2。FR-017 L125 で 'excluded_tiles.txt = ポリゴン内のタイル座標リスト' とあるが、'ポリゴン内' の判定基準（タイル中心点 / タイルの任意点 / タイルとポリゴンの交差）が SRS 本文で未規定。ADR-005 L47 では 'ポリゴン内に中心点が含まれる全タイル' と書かれているが SRS / GLOSSARY に反映されていない。</t>
        </is>
      </c>
      <c r="D23" s="7" t="inlineStr">
        <is>
          <t>改善</t>
        </is>
      </c>
      <c r="E23" s="5" t="inlineStr">
        <is>
          <t>中</t>
        </is>
      </c>
      <c r="F23" s="7" t="inlineStr">
        <is>
          <t>その他</t>
        </is>
      </c>
      <c r="G23" s="7" t="inlineStr"/>
      <c r="H23" s="7" t="inlineStr">
        <is>
          <t>2026-05-14</t>
        </is>
      </c>
      <c r="I23" s="7" t="inlineStr">
        <is>
          <t>SRS</t>
        </is>
      </c>
      <c r="J23" s="7" t="inlineStr">
        <is>
          <t>未対応</t>
        </is>
      </c>
      <c r="K23" s="7" t="inlineStr"/>
      <c r="L23" s="7" t="inlineStr">
        <is>
          <t>FR-017 に 'タイル中心点が北方領土6村ポリゴンに含まれるタイルを列挙' と明示し、ADR-005 と同じ規定を SRS に転記する。</t>
        </is>
      </c>
      <c r="M23" s="7" t="inlineStr"/>
      <c r="N23" s="7" t="inlineStr"/>
      <c r="O23" s="7" t="inlineStr"/>
    </row>
    <row r="24" ht="40" customHeight="1">
      <c r="A24" s="4" t="inlineStr">
        <is>
          <t>ISSUE-023</t>
        </is>
      </c>
      <c r="B24" s="4" t="inlineStr">
        <is>
          <t>NFR-003: 決定論性スコープから timestamp 除外を明記</t>
        </is>
      </c>
      <c r="C24" s="4" t="inlineStr">
        <is>
          <t>URD/SRS レビュー指摘 M-3。NFR-003 L527-529 で 'すべての出力が同一の内容になること' とあるが、merged.geojson の metadata.generated_at は実行時刻に依存するため完全な同一性は不可能。</t>
        </is>
      </c>
      <c r="D24" s="4" t="inlineStr">
        <is>
          <t>改善</t>
        </is>
      </c>
      <c r="E24" s="5" t="inlineStr">
        <is>
          <t>中</t>
        </is>
      </c>
      <c r="F24" s="4" t="inlineStr">
        <is>
          <t>その他</t>
        </is>
      </c>
      <c r="G24" s="4" t="inlineStr"/>
      <c r="H24" s="4" t="inlineStr">
        <is>
          <t>2026-05-14</t>
        </is>
      </c>
      <c r="I24" s="4" t="inlineStr">
        <is>
          <t>SRS</t>
        </is>
      </c>
      <c r="J24" s="4" t="inlineStr">
        <is>
          <t>未対応</t>
        </is>
      </c>
      <c r="K24" s="4" t="inlineStr"/>
      <c r="L24" s="4" t="inlineStr">
        <is>
          <t>NFR-003 に 'metadata.generated_at 等の実行時タイムスタンプを除き、ピーク座標・標高・突合結果・採番が同一であること' と除外規定を明記。</t>
        </is>
      </c>
      <c r="M24" s="4" t="inlineStr"/>
      <c r="N24" s="4" t="inlineStr"/>
      <c r="O24" s="4" t="inlineStr"/>
    </row>
    <row r="25" ht="40" customHeight="1">
      <c r="A25" s="7" t="inlineStr">
        <is>
          <t>ISSUE-024</t>
        </is>
      </c>
      <c r="B25" s="7" t="inlineStr">
        <is>
          <t>FR-015: 標高地形図の縮小方法を規定</t>
        </is>
      </c>
      <c r="C25" s="7"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7" t="inlineStr">
        <is>
          <t>改善</t>
        </is>
      </c>
      <c r="E25" s="5" t="inlineStr">
        <is>
          <t>中</t>
        </is>
      </c>
      <c r="F25" s="7" t="inlineStr">
        <is>
          <t>解析エンジン</t>
        </is>
      </c>
      <c r="G25" s="7" t="inlineStr"/>
      <c r="H25" s="7" t="inlineStr">
        <is>
          <t>2026-05-14</t>
        </is>
      </c>
      <c r="I25" s="7" t="inlineStr">
        <is>
          <t>SRS</t>
        </is>
      </c>
      <c r="J25" s="7" t="inlineStr">
        <is>
          <t>未対応</t>
        </is>
      </c>
      <c r="K25" s="7" t="inlineStr"/>
      <c r="L25" s="7" t="inlineStr">
        <is>
          <t>FR-015 に縮小方式を明示する（推奨: max pooling でダウンサンプル、NODATA は除外）。もしくは HLD で規定する旨を SRS に明記。</t>
        </is>
      </c>
      <c r="M25" s="7" t="inlineStr"/>
      <c r="N25" s="7" t="inlineStr"/>
      <c r="O25" s="7" t="inlineStr"/>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5" t="inlineStr">
        <is>
          <t>中</t>
        </is>
      </c>
      <c r="F26" s="2" t="inlineStr">
        <is>
          <t>merge.py</t>
        </is>
      </c>
      <c r="G26" s="2" t="inlineStr"/>
      <c r="H26" s="2" t="inlineStr">
        <is>
          <t>2026-05-14</t>
        </is>
      </c>
      <c r="I26" s="2" t="inlineStr">
        <is>
          <t>SRS</t>
        </is>
      </c>
      <c r="J26" s="2" t="inlineStr">
        <is>
          <t>解決済</t>
        </is>
      </c>
      <c r="K26" s="2" t="inlineStr"/>
      <c r="L26" s="2" t="inlineStr">
        <is>
          <t>FR-009 の用語定義または GLOSSARY で標高バンド境界表を提示する（SOTA 日本支部の正式表を出典として引用）。緯度区分がある場合は区分も含めて表で記述。</t>
        </is>
      </c>
      <c r="M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N26" s="2" t="inlineStr">
        <is>
          <t>2026-05-22</t>
        </is>
      </c>
      <c r="O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6" t="inlineStr">
        <is>
          <t>低</t>
        </is>
      </c>
      <c r="F27" s="2" t="inlineStr">
        <is>
          <t>その他</t>
        </is>
      </c>
      <c r="G27" s="2" t="inlineStr"/>
      <c r="H27" s="2" t="inlineStr">
        <is>
          <t>2026-05-14</t>
        </is>
      </c>
      <c r="I27" s="2" t="inlineStr">
        <is>
          <t>SRS</t>
        </is>
      </c>
      <c r="J27" s="2" t="inlineStr">
        <is>
          <t>解決済</t>
        </is>
      </c>
      <c r="K27" s="2" t="inlineStr"/>
      <c r="L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M27" s="2" t="inlineStr"/>
      <c r="N27" s="2" t="inlineStr">
        <is>
          <t>2026-05-17</t>
        </is>
      </c>
      <c r="O27" s="2" t="inlineStr">
        <is>
          <t>2026-05-17</t>
        </is>
      </c>
    </row>
    <row r="28" ht="40" customHeight="1">
      <c r="A28" s="4" t="inlineStr">
        <is>
          <t>ISSUE-027</t>
        </is>
      </c>
      <c r="B28" s="4" t="inlineStr">
        <is>
          <t>GLOSSARY 補完（削除候補・dominant peak 見出し統一）</t>
        </is>
      </c>
      <c r="C28" s="4" t="inlineStr">
        <is>
          <t>URD/SRS レビュー指摘 L-4。'削除候補（deleted）' が用語集に独立項目として未定義。dominant peak の説明文で言及されるのみ。</t>
        </is>
      </c>
      <c r="D28" s="4" t="inlineStr">
        <is>
          <t>改善</t>
        </is>
      </c>
      <c r="E28" s="6" t="inlineStr">
        <is>
          <t>低</t>
        </is>
      </c>
      <c r="F28" s="4" t="inlineStr">
        <is>
          <t>その他</t>
        </is>
      </c>
      <c r="G28" s="4" t="inlineStr"/>
      <c r="H28" s="4" t="inlineStr">
        <is>
          <t>2026-05-14</t>
        </is>
      </c>
      <c r="I28" s="4" t="inlineStr">
        <is>
          <t>SRS</t>
        </is>
      </c>
      <c r="J28" s="4" t="inlineStr">
        <is>
          <t>未対応</t>
        </is>
      </c>
      <c r="K28" s="4" t="inlineStr"/>
      <c r="L28" s="4" t="inlineStr">
        <is>
          <t>GLOSSARY に以下を追加:
(1) '削除候補（deleted サミット）' を独立項目として追加（ISSUE-018 の sota_summit.match_status=deleted 定義と整合）
(2) ISSUE-026 と協調して 'dominant peak' 見出しを英語表記に統一</t>
        </is>
      </c>
      <c r="M28" s="4" t="inlineStr"/>
      <c r="N28" s="4" t="inlineStr"/>
      <c r="O28" s="4" t="inlineStr"/>
    </row>
    <row r="29" ht="40" customHeight="1">
      <c r="A29" s="7" t="inlineStr">
        <is>
          <t>ISSUE-028</t>
        </is>
      </c>
      <c r="B29" s="7" t="inlineStr">
        <is>
          <t>フォールバック規定の集約（FR-003 / FR-017 / 6.9 の重複解消）</t>
        </is>
      </c>
      <c r="C29" s="7" t="inlineStr">
        <is>
          <t>URD/SRS レビュー指摘 L-5。excluded_tiles.txt / regions.geojson / municipalities.geojson の未存在時フォールバック動作が FR-003 / FR-017 / 6.9 の3箇所で重複記載されている。変更時の同期コストが高い。</t>
        </is>
      </c>
      <c r="D29" s="7" t="inlineStr">
        <is>
          <t>改善</t>
        </is>
      </c>
      <c r="E29" s="6" t="inlineStr">
        <is>
          <t>低</t>
        </is>
      </c>
      <c r="F29" s="7" t="inlineStr">
        <is>
          <t>その他</t>
        </is>
      </c>
      <c r="G29" s="7" t="inlineStr"/>
      <c r="H29" s="7" t="inlineStr">
        <is>
          <t>2026-05-14</t>
        </is>
      </c>
      <c r="I29" s="7" t="inlineStr">
        <is>
          <t>SRS</t>
        </is>
      </c>
      <c r="J29" s="7" t="inlineStr">
        <is>
          <t>未対応</t>
        </is>
      </c>
      <c r="K29" s="7" t="inlineStr"/>
      <c r="L29" s="7" t="inlineStr">
        <is>
          <t>フォールバック規定を 1 箇所（推奨: FR-017 のみ）に集約し、他箇所からは '詳細は FR-017 参照' とリンクする。</t>
        </is>
      </c>
      <c r="M29" s="7" t="inlineStr"/>
      <c r="N29" s="7" t="inlineStr"/>
      <c r="O29" s="7" t="inlineStr"/>
    </row>
    <row r="30" ht="40" customHeight="1">
      <c r="A30" s="4" t="inlineStr">
        <is>
          <t>ISSUE-029</t>
        </is>
      </c>
      <c r="B30" s="4" t="inlineStr">
        <is>
          <t>UR-008 / UR-009 の要件性検討（NFR への再マップ）</t>
        </is>
      </c>
      <c r="C30" s="4"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4" t="inlineStr">
        <is>
          <t>設計</t>
        </is>
      </c>
      <c r="E30" s="5" t="inlineStr">
        <is>
          <t>中</t>
        </is>
      </c>
      <c r="F30" s="4" t="inlineStr">
        <is>
          <t>その他</t>
        </is>
      </c>
      <c r="G30" s="4" t="inlineStr"/>
      <c r="H30" s="4" t="inlineStr">
        <is>
          <t>2026-05-14</t>
        </is>
      </c>
      <c r="I30" s="4" t="inlineStr">
        <is>
          <t>URD</t>
        </is>
      </c>
      <c r="J30" s="4" t="inlineStr">
        <is>
          <t>未対応</t>
        </is>
      </c>
      <c r="K30" s="4" t="inlineStr"/>
      <c r="L30" s="4"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M30" s="4"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N30" s="4" t="inlineStr"/>
      <c r="O30" s="4" t="inlineStr"/>
    </row>
    <row r="31" ht="40" customHeight="1">
      <c r="A31" s="7" t="inlineStr">
        <is>
          <t>ISSUE-030</t>
        </is>
      </c>
      <c r="B31" s="7" t="inlineStr">
        <is>
          <t>UR-006: 作業用 / 公開用 HTML の 2 層構造を URD に反映</t>
        </is>
      </c>
      <c r="C31" s="7"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7" t="inlineStr">
        <is>
          <t>改善</t>
        </is>
      </c>
      <c r="E31" s="6" t="inlineStr">
        <is>
          <t>低</t>
        </is>
      </c>
      <c r="F31" s="7" t="inlineStr">
        <is>
          <t>その他</t>
        </is>
      </c>
      <c r="G31" s="7" t="inlineStr"/>
      <c r="H31" s="7" t="inlineStr">
        <is>
          <t>2026-05-14</t>
        </is>
      </c>
      <c r="I31" s="7" t="inlineStr">
        <is>
          <t>URD</t>
        </is>
      </c>
      <c r="J31" s="7" t="inlineStr">
        <is>
          <t>未対応</t>
        </is>
      </c>
      <c r="K31" s="7" t="inlineStr"/>
      <c r="L31" s="7" t="inlineStr">
        <is>
          <t>URD UR-006 の要件文または前提・制約に '作業用ビューア（山岳名入力・XLSX エクスポート）と公開用 HTML（閲覧専用）の 2 層構造' を反映する。</t>
        </is>
      </c>
      <c r="M31" s="7" t="inlineStr"/>
      <c r="N31" s="7" t="inlineStr"/>
      <c r="O31" s="7" t="inlineStr"/>
    </row>
    <row r="32" ht="40" customHeight="1">
      <c r="A32" s="4" t="inlineStr">
        <is>
          <t>ISSUE-031</t>
        </is>
      </c>
      <c r="B32" s="4" t="inlineStr">
        <is>
          <t>SRS: 各 UR に対する FR/NFR の対応漏れ調査と『対応 UR』記述の補完</t>
        </is>
      </c>
      <c r="C32" s="4"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4" t="inlineStr">
        <is>
          <t>調査</t>
        </is>
      </c>
      <c r="E32" s="3" t="inlineStr">
        <is>
          <t>高</t>
        </is>
      </c>
      <c r="F32" s="4" t="inlineStr">
        <is>
          <t>その他</t>
        </is>
      </c>
      <c r="G32" s="4" t="inlineStr"/>
      <c r="H32" s="4" t="inlineStr">
        <is>
          <t>2026-05-14</t>
        </is>
      </c>
      <c r="I32" s="4" t="inlineStr">
        <is>
          <t>SRS</t>
        </is>
      </c>
      <c r="J32" s="4" t="inlineStr">
        <is>
          <t>未対応</t>
        </is>
      </c>
      <c r="K32" s="4" t="inlineStr"/>
      <c r="L32" s="4" t="inlineStr">
        <is>
          <t>(1) UR-001 〜 UR-010 を縦軸、現状の対応 FR/NFR を横軸に整理した一覧表を作成し漏れを抽出
(2) 漏れている対応関係を該当 FR / NFR の '対応 UR' フィールドに追記
(3) ISSUE-031（RTM）作成の前提データとして提供</t>
        </is>
      </c>
      <c r="M32" s="4" t="inlineStr"/>
      <c r="N32" s="4" t="inlineStr"/>
      <c r="O32" s="4"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未対応</t>
        </is>
      </c>
      <c r="K33" s="7" t="inlineStr"/>
      <c r="L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M33" s="7" t="inlineStr"/>
      <c r="N33" s="7" t="inlineStr"/>
      <c r="O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is>
          <t>解決済</t>
        </is>
      </c>
      <c r="K34" s="2" t="inlineStr"/>
      <c r="L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M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ADR-004（決定日 2026-05-18 追記）を参照。
関連 commit: 8f273a8（暫定・却下）→ 282f427（確定）</t>
        </is>
      </c>
      <c r="N34" s="2" t="inlineStr">
        <is>
          <t>2026-05-18</t>
        </is>
      </c>
      <c r="O34" s="2" t="inlineStr">
        <is>
          <t>2026-05-19</t>
        </is>
      </c>
    </row>
    <row r="35" ht="40" customHeight="1">
      <c r="A35" s="7" t="inlineStr">
        <is>
          <t>ISSUE-034</t>
        </is>
      </c>
      <c r="B35" s="7" t="inlineStr">
        <is>
          <t>tracker: ISSUE-018 の resolution 文を実装実態（案 B 採用）に合わせて更新</t>
        </is>
      </c>
      <c r="C35" s="7" t="inlineStr">
        <is>
          <t>ISSUE-018 の resolution 文に「案A（peak も dominant に昇格）または案B…から選定」と書かれているが、実装方針は案 B（peak 昇格なし）で確定済み（SRS L336 / ADR-008 L29）。後から履歴を辿る際の誤読防止のため、resolution 文を案 B 採用前提の記述に更新する。</t>
        </is>
      </c>
      <c r="D35" s="7" t="inlineStr">
        <is>
          <t>改善</t>
        </is>
      </c>
      <c r="E35" s="6" t="inlineStr">
        <is>
          <t>低</t>
        </is>
      </c>
      <c r="F35" s="7" t="inlineStr">
        <is>
          <t>その他</t>
        </is>
      </c>
      <c r="G35" s="7" t="inlineStr"/>
      <c r="H35" s="7" t="inlineStr">
        <is>
          <t>2026-05-17</t>
        </is>
      </c>
      <c r="I35" s="7" t="inlineStr"/>
      <c r="J35" s="7" t="inlineStr">
        <is>
          <t>未対応</t>
        </is>
      </c>
      <c r="K35" s="7" t="inlineStr"/>
      <c r="L35" s="7" t="inlineStr">
        <is>
          <t>tracker のレコード編集機能で ISSUE-018 の resolution フィールドを書き換え、「案 B（peak.match_status は変更せず、summit.dominant_peak_code で紐付けのみ）を採用」と明記する。</t>
        </is>
      </c>
      <c r="M35" s="7" t="inlineStr"/>
      <c r="N35" s="7" t="inlineStr"/>
      <c r="O35" s="7" t="inlineStr"/>
    </row>
    <row r="36" ht="40" customHeight="1">
      <c r="A36" s="4" t="inlineStr">
        <is>
          <t>ISSUE-035</t>
        </is>
      </c>
      <c r="B36" s="4" t="inlineStr">
        <is>
          <t>SRS: 竹島除外方針の記述追加・ADR-009 リンク</t>
        </is>
      </c>
      <c r="C36" s="4" t="inlineStr">
        <is>
          <t>URD UR-001・ADR-009 に竹島除外方針を追加済み。SRS の前提・制約・スコープ外・FR-003 関連箇所に竹島の記述を追加し、ADR-009 へのリンクを貼る。北方領土の記述（ADR-005 参照）に準じた形で記載すること。</t>
        </is>
      </c>
      <c r="D36" s="4" t="inlineStr"/>
      <c r="E36" s="5" t="inlineStr">
        <is>
          <t>中</t>
        </is>
      </c>
      <c r="F36" s="4" t="inlineStr"/>
      <c r="G36" s="4" t="inlineStr"/>
      <c r="H36" s="4" t="inlineStr">
        <is>
          <t>2026-05-17</t>
        </is>
      </c>
      <c r="I36" s="4" t="inlineStr">
        <is>
          <t>SRS</t>
        </is>
      </c>
      <c r="J36" s="4" t="inlineStr">
        <is>
          <t>未対応</t>
        </is>
      </c>
      <c r="K36" s="4" t="inlineStr"/>
      <c r="L36" s="4" t="inlineStr"/>
      <c r="M36" s="4" t="inlineStr"/>
      <c r="N36" s="4" t="inlineStr"/>
      <c r="O36" s="4" t="inlineStr"/>
    </row>
    <row r="37" ht="40" customHeight="1">
      <c r="A37" s="7" t="inlineStr">
        <is>
          <t>ISSUE-036</t>
        </is>
      </c>
      <c r="B37" s="7" t="inlineStr">
        <is>
          <t>COD: mesh_list_japan.txt からメッシュ 5531（竹島）を削除</t>
        </is>
      </c>
      <c r="C37" s="7" t="inlineStr">
        <is>
          <t>ADR-009 の決定に基づく実装。params/mesh_list_japan.txt から 5531 を1行削除する。竹島（HL/GB-430）は韓国 SOTA サミットであり SOTA 日本支部の管轄外。除外根拠: docs/decisions/ADR-009-takeshima-exclusion.md</t>
        </is>
      </c>
      <c r="D37" s="7" t="inlineStr"/>
      <c r="E37" s="5" t="inlineStr">
        <is>
          <t>中</t>
        </is>
      </c>
      <c r="F37" s="7" t="inlineStr"/>
      <c r="G37" s="7" t="inlineStr"/>
      <c r="H37" s="7" t="inlineStr">
        <is>
          <t>2026-05-17</t>
        </is>
      </c>
      <c r="I37" s="7" t="inlineStr">
        <is>
          <t>SRS</t>
        </is>
      </c>
      <c r="J37" s="7" t="inlineStr">
        <is>
          <t>未対応</t>
        </is>
      </c>
      <c r="K37" s="7" t="inlineStr">
        <is>
          <t>Sonnet</t>
        </is>
      </c>
      <c r="L37" s="7" t="inlineStr"/>
      <c r="M37" s="7" t="inlineStr"/>
      <c r="N37" s="7" t="inlineStr"/>
      <c r="O37" s="7" t="inlineStr"/>
    </row>
    <row r="38" ht="40" customHeight="1">
      <c r="A38" s="4" t="inlineStr">
        <is>
          <t>ISSUE-037</t>
        </is>
      </c>
      <c r="B38" s="4" t="inlineStr">
        <is>
          <t>ADR-010 Phase 1: ビルド基盤 + elevation.c の C++/OpenCV 化（標高値同値性検証含む）</t>
        </is>
      </c>
      <c r="C38" s="4" t="inlineStr">
        <is>
          <t>ADR-010（C++/OpenCV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ADR-010 docs/decisions/ADR-010-cpp-opencv-migration.md
- 検討資料 docs/decisions/research/cpp-opencv-migration-research.md（§3 同値性検証手順、§6 ビルド基盤変更）</t>
        </is>
      </c>
      <c r="D38" s="4" t="inlineStr">
        <is>
          <t>改善</t>
        </is>
      </c>
      <c r="E38" s="3" t="inlineStr">
        <is>
          <t>高</t>
        </is>
      </c>
      <c r="F38" s="4" t="inlineStr">
        <is>
          <t>解析エンジン</t>
        </is>
      </c>
      <c r="G38" s="4" t="inlineStr">
        <is>
          <t>JJ1XGO</t>
        </is>
      </c>
      <c r="H38" s="4" t="inlineStr">
        <is>
          <t>2026-05-17</t>
        </is>
      </c>
      <c r="I38" s="4" t="inlineStr">
        <is>
          <t>SRS</t>
        </is>
      </c>
      <c r="J38" s="4" t="inlineStr">
        <is>
          <t>未対応</t>
        </is>
      </c>
      <c r="K38" s="4" t="inlineStr">
        <is>
          <t>Sonnet</t>
        </is>
      </c>
      <c r="L38" s="4" t="inlineStr"/>
      <c r="M38" s="4" t="inlineStr"/>
      <c r="N38" s="4" t="inlineStr"/>
      <c r="O38" s="4" t="inlineStr"/>
    </row>
    <row r="39" ht="40" customHeight="1">
      <c r="A39" s="7" t="inlineStr">
        <is>
          <t>ISSUE-038</t>
        </is>
      </c>
      <c r="B39" s="7" t="inlineStr">
        <is>
          <t>ADR-010 Phase 2: 残り src/ の C++ 翻訳（mesh / unionfind / analyze / mesh_analyze / main / tests）</t>
        </is>
      </c>
      <c r="C39" s="7" t="inlineStr">
        <is>
          <t>ADR-010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ADR-010 docs/decisions/ADR-010-cpp-opencv-migration.md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未対応</t>
        </is>
      </c>
      <c r="K39" s="7" t="inlineStr">
        <is>
          <t>Sonnet</t>
        </is>
      </c>
      <c r="L39" s="7" t="inlineStr"/>
      <c r="M39" s="7" t="inlineStr"/>
      <c r="N39" s="7" t="inlineStr"/>
      <c r="O39" s="7" t="inlineStr"/>
    </row>
    <row r="40" ht="40" customHeight="1">
      <c r="A40" s="4" t="inlineStr">
        <is>
          <t>ISSUE-039</t>
        </is>
      </c>
      <c r="B40" s="4" t="inlineStr">
        <is>
          <t>ADR-010 Phase 3: FR-015 標高地形図出力の OpenCV 化</t>
        </is>
      </c>
      <c r="C40" s="4" t="inlineStr">
        <is>
          <t>ADR-010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ADR-010 docs/decisions/ADR-010-cpp-opencv-migration.md
- SRS 6.7 標高地形図（Terrain-RGB PNG）</t>
        </is>
      </c>
      <c r="D40" s="4" t="inlineStr">
        <is>
          <t>改善</t>
        </is>
      </c>
      <c r="E40" s="5" t="inlineStr">
        <is>
          <t>中</t>
        </is>
      </c>
      <c r="F40" s="4" t="inlineStr">
        <is>
          <t>解析エンジン</t>
        </is>
      </c>
      <c r="G40" s="4" t="inlineStr">
        <is>
          <t>JJ1XGO</t>
        </is>
      </c>
      <c r="H40" s="4" t="inlineStr">
        <is>
          <t>2026-05-17</t>
        </is>
      </c>
      <c r="I40" s="4" t="inlineStr">
        <is>
          <t>SRS</t>
        </is>
      </c>
      <c r="J40" s="4" t="inlineStr">
        <is>
          <t>未対応</t>
        </is>
      </c>
      <c r="K40" s="4" t="inlineStr">
        <is>
          <t>Sonnet</t>
        </is>
      </c>
      <c r="L40" s="4" t="inlineStr"/>
      <c r="M40" s="4" t="inlineStr"/>
      <c r="N40" s="4" t="inlineStr"/>
      <c r="O40" s="4" t="inlineStr"/>
    </row>
    <row r="41" ht="40" customHeight="1">
      <c r="A41" s="7" t="inlineStr">
        <is>
          <t>ISSUE-040</t>
        </is>
      </c>
      <c r="B41" s="7" t="inlineStr">
        <is>
          <t>ADR-010 Phase 4: FR-016 アクティベーションゾーン計算（C++/OpenCV 新規実装）</t>
        </is>
      </c>
      <c r="C41" s="7" t="inlineStr">
        <is>
          <t>ADR-010 Phase 4: FR-016（ピーク域ポリゴン計算）を C++ + OpenCV で新規実装する。AZ ポリゴンと delete判定ゾーンポリゴン（ADR-011）の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未対応</t>
        </is>
      </c>
      <c r="K41" s="7" t="inlineStr">
        <is>
          <t>Sonnet</t>
        </is>
      </c>
      <c r="L41" s="7" t="inlineStr"/>
      <c r="M41" s="7" t="inlineStr">
        <is>
          <t>【ADR-011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ADR-010 docs/decisions/ADR-010-cpp-opencv-migration.md
- ADR-011 docs/decisions/ADR-011-delete-zone-polygon.md（新仕様）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N41" s="7" t="inlineStr"/>
      <c r="O41" s="7" t="inlineStr"/>
    </row>
    <row r="42" ht="40" customHeight="1">
      <c r="A42" s="4" t="inlineStr">
        <is>
          <t>ISSUE-041</t>
        </is>
      </c>
      <c r="B42" s="4" t="inlineStr">
        <is>
          <t>実装側のフラグ命名追従（is_tile_top → key_col_resolved + 真偽値反転）</t>
        </is>
      </c>
      <c r="C42" s="4"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4" t="inlineStr">
        <is>
          <t>改善</t>
        </is>
      </c>
      <c r="E42" s="5" t="inlineStr">
        <is>
          <t>中</t>
        </is>
      </c>
      <c r="F42" s="4" t="inlineStr">
        <is>
          <t>その他</t>
        </is>
      </c>
      <c r="G42" s="4" t="inlineStr"/>
      <c r="H42" s="4" t="inlineStr">
        <is>
          <t>2026-05-19</t>
        </is>
      </c>
      <c r="I42" s="4" t="inlineStr">
        <is>
          <t>SRS</t>
        </is>
      </c>
      <c r="J42" s="4" t="inlineStr">
        <is>
          <t>未対応</t>
        </is>
      </c>
      <c r="K42" s="4" t="inlineStr">
        <is>
          <t>Sonnet</t>
        </is>
      </c>
      <c r="L42" s="4" t="inlineStr"/>
      <c r="M42" s="4"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(ADR-010 Phase 1): elevation.c の C++/OpenCV 化
- ISSUE-038 (ADR-010 Phase 2): 残り src/ の C++ 翻訳
- ISSUE-040 (ADR-010 Phase 4): FR-016 (area_complete を含む) C++ 新規実装</t>
        </is>
      </c>
      <c r="N42" s="4" t="inlineStr"/>
      <c r="O42" s="4" t="inlineStr"/>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5" t="inlineStr">
        <is>
          <t>中</t>
        </is>
      </c>
      <c r="F43" s="7" t="inlineStr">
        <is>
          <t>その他</t>
        </is>
      </c>
      <c r="G43" s="7" t="inlineStr">
        <is>
          <t>ユーザー</t>
        </is>
      </c>
      <c r="H43" s="7" t="inlineStr">
        <is>
          <t>2026-05-20</t>
        </is>
      </c>
      <c r="I43" s="7" t="inlineStr">
        <is>
          <t>SRS</t>
        </is>
      </c>
      <c r="J43" s="7" t="inlineStr">
        <is>
          <t>未対応</t>
        </is>
      </c>
      <c r="K43" s="7" t="inlineStr"/>
      <c r="L43" s="7" t="inlineStr"/>
      <c r="M43" s="7" t="inlineStr">
        <is>
          <t>ISSUE-019 のクローズ時にユーザーから登録要望が出た案件。</t>
        </is>
      </c>
      <c r="N43" s="7" t="inlineStr"/>
      <c r="O43" s="7" t="inlineStr"/>
    </row>
    <row r="44" ht="40" customHeight="1">
      <c r="A44" s="4" t="inlineStr">
        <is>
          <t>ISSUE-043</t>
        </is>
      </c>
      <c r="B44" s="4" t="inlineStr">
        <is>
          <t>merge.py: delete判定ゾーン対応（AZ/delete-zone PIP、不備フラグ列、exit code、dominant 改名）</t>
        </is>
      </c>
      <c r="C44" s="4" t="inlineStr">
        <is>
          <t>ADR-011（delete判定ゾーンポリゴン）採用に伴う merge.py の改修。SRS FR-009 / ADR-007 / ADR-008 / ADR-011 の仕様を実装に反映する。</t>
        </is>
      </c>
      <c r="D44" s="4" t="inlineStr">
        <is>
          <t>改善</t>
        </is>
      </c>
      <c r="E44" s="3" t="inlineStr">
        <is>
          <t>高</t>
        </is>
      </c>
      <c r="F44" s="4" t="inlineStr">
        <is>
          <t>merge.py</t>
        </is>
      </c>
      <c r="G44" s="4" t="inlineStr">
        <is>
          <t>JJ1XGO</t>
        </is>
      </c>
      <c r="H44" s="4" t="inlineStr">
        <is>
          <t>2026-05-21</t>
        </is>
      </c>
      <c r="I44" s="4" t="inlineStr">
        <is>
          <t>COD</t>
        </is>
      </c>
      <c r="J44" s="4" t="inlineStr">
        <is>
          <t>未対応</t>
        </is>
      </c>
      <c r="K44" s="4" t="inlineStr"/>
      <c r="L44" s="4" t="inlineStr"/>
      <c r="M44" s="4" t="inlineStr">
        <is>
          <t>【2026-05-22 追記】merge.py 改修スコープに以下を追加: points/sota_points/is_band_change_candidate 列の計算・追加（FR-009 変更申請判定セクション参照）。バンド定義は GLOSSARY 標高バンド（Points 算出表）に従う。peak_elev は切り捨て（floor）した整数 m でバンド判定（例: 1499.5m → 1499m → 8pt）、sota_alt_m はそのまま判定。</t>
        </is>
      </c>
      <c r="N44" s="4" t="inlineStr"/>
      <c r="O44" s="4" t="inlineStr"/>
    </row>
    <row r="45" ht="40" customHeight="1">
      <c r="A45" s="7" t="inlineStr">
        <is>
          <t>ISSUE-044</t>
        </is>
      </c>
      <c r="B45" s="7" t="inlineStr">
        <is>
          <t>output_geojson.py: delete判定ゾーン対応 + merged_viewer.html 実装</t>
        </is>
      </c>
      <c r="C45" s="7" t="inlineStr">
        <is>
          <t>ADR-011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COD</t>
        </is>
      </c>
      <c r="J45" s="7" t="inlineStr">
        <is>
          <t>未対応</t>
        </is>
      </c>
      <c r="K45" s="7" t="inlineStr"/>
      <c r="L45" s="7" t="inlineStr"/>
      <c r="M45" s="7" t="inlineStr">
        <is>
          <t>【2026-05-22 追記】output_geojson.py + merged_viewer.html 改修スコープに以下を追加: (1) 名称修正 UI 廃止（matched ピークの入力フィールドを削除）。(2) 変更行自動エクスポート（is_band_change_candidate=true の matched ピークを申請書の変更行として自動生成、FR-011 ※5フォーマット準拠）。</t>
        </is>
      </c>
      <c r="N45" s="7" t="inlineStr"/>
      <c r="O45" s="7" t="inlineStr"/>
    </row>
    <row r="46" ht="40" customHeight="1">
      <c r="A46" s="4" t="inlineStr">
        <is>
          <t>ISSUE-045</t>
        </is>
      </c>
      <c r="B46" s="4" t="inlineStr">
        <is>
          <t>params/config.ini.example: delete_zone_max_drop = 250 パラメータ追加</t>
        </is>
      </c>
      <c r="C46" s="4" t="inlineStr">
        <is>
          <t>ADR-011 で確定した delete_zone_max_drop（実測値 250m）を config.ini.example に記載し、ユーザー環境への展開を可能にする。</t>
        </is>
      </c>
      <c r="D46" s="4" t="inlineStr">
        <is>
          <t>改善</t>
        </is>
      </c>
      <c r="E46" s="5" t="inlineStr">
        <is>
          <t>中</t>
        </is>
      </c>
      <c r="F46" s="4" t="inlineStr">
        <is>
          <t>設定</t>
        </is>
      </c>
      <c r="G46" s="4" t="inlineStr">
        <is>
          <t>JJ1XGO</t>
        </is>
      </c>
      <c r="H46" s="4" t="inlineStr">
        <is>
          <t>2026-05-21</t>
        </is>
      </c>
      <c r="I46" s="4" t="inlineStr">
        <is>
          <t>COD</t>
        </is>
      </c>
      <c r="J46" s="4" t="inlineStr">
        <is>
          <t>未対応</t>
        </is>
      </c>
      <c r="K46" s="4" t="inlineStr"/>
      <c r="L46" s="4" t="inlineStr"/>
      <c r="M46" s="4" t="inlineStr">
        <is>
          <t>【作業範囲】
- params/config.ini.example の [analysis] セクション（または相当箇所）に delete_zone_max_drop = 250 を追加
- 値の根拠コメントとして ADR-011 を参照
- 既存のローカル params/config.ini（gitignore）は手動で同期する旨をユーザーに通知
【参照】
- ADR docs/decisions/ADR-011-delete-zone-polygon.md
- SRS FR-016
【元 ISSUE】ISSUE-020 から分離</t>
        </is>
      </c>
      <c r="N46" s="4" t="inlineStr"/>
      <c r="O46" s="4" t="inlineStr"/>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is>
          <t>解決済</t>
        </is>
      </c>
      <c r="K47" s="2" t="inlineStr"/>
      <c r="L47" s="2" t="inlineStr"/>
      <c r="M47" s="2" t="inlineStr"/>
      <c r="N47" s="2" t="inlineStr">
        <is>
          <t>2026-05-22</t>
        </is>
      </c>
      <c r="O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5" t="inlineStr">
        <is>
          <t>中</t>
        </is>
      </c>
      <c r="F48" s="2" t="inlineStr">
        <is>
          <t>その他</t>
        </is>
      </c>
      <c r="G48" s="2" t="inlineStr"/>
      <c r="H48" s="2" t="inlineStr">
        <is>
          <t>2026-05-22</t>
        </is>
      </c>
      <c r="I48" s="2" t="inlineStr">
        <is>
          <t>SRS</t>
        </is>
      </c>
      <c r="J48" s="2" t="inlineStr">
        <is>
          <t>解決済</t>
        </is>
      </c>
      <c r="K48" s="2" t="inlineStr"/>
      <c r="L48" s="2" t="inlineStr">
        <is>
          <t>drawio で FR-002/FR-003 のボックスを FR-001 の外に移動し、SVG を再エクスポートして docs/figures/ を更新する</t>
        </is>
      </c>
      <c r="M48" s="2" t="inlineStr"/>
      <c r="N48" s="2" t="inlineStr">
        <is>
          <t>2026-05-22</t>
        </is>
      </c>
      <c r="O48" s="2" t="inlineStr">
        <is>
          <t>2026-05-22</t>
        </is>
      </c>
    </row>
    <row r="49" ht="40" customHeight="1">
      <c r="A49" s="7" t="inlineStr">
        <is>
          <t>ISSUE-048</t>
        </is>
      </c>
      <c r="B49" s="7" t="inlineStr">
        <is>
          <t>SRS 3.1 システムコンテキスト図の新規作成</t>
        </is>
      </c>
      <c r="C49" s="7"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7" t="inlineStr">
        <is>
          <t>機能追加</t>
        </is>
      </c>
      <c r="E49" s="5" t="inlineStr">
        <is>
          <t>中</t>
        </is>
      </c>
      <c r="F49" s="7" t="inlineStr">
        <is>
          <t>その他</t>
        </is>
      </c>
      <c r="G49" s="7" t="inlineStr"/>
      <c r="H49" s="7" t="inlineStr">
        <is>
          <t>2026-05-22</t>
        </is>
      </c>
      <c r="I49" s="7" t="inlineStr">
        <is>
          <t>SRS</t>
        </is>
      </c>
      <c r="J49" s="7" t="inlineStr">
        <is>
          <t>対応完了</t>
        </is>
      </c>
      <c r="K49" s="7" t="inlineStr"/>
      <c r="L49" s="7" t="inlineStr">
        <is>
          <t>drawio でコンテキスト図を作成し、docs/figures/context.drawio.svg として保存。SRS 3.1 のプレースホルダーを図参照に置き換えてコミット</t>
        </is>
      </c>
      <c r="M49" s="7" t="inlineStr"/>
      <c r="N49" s="7" t="inlineStr">
        <is>
          <t>2026-05-22</t>
        </is>
      </c>
      <c r="O49" s="7" t="inlineStr"/>
    </row>
    <row r="50" ht="40" customHeight="1">
      <c r="A50" s="4" t="inlineStr">
        <is>
          <t>ISSUE-049</t>
        </is>
      </c>
      <c r="B50" s="4" t="inlineStr">
        <is>
          <t>SRS 3.3 フェーズ俯瞰図の新規作成</t>
        </is>
      </c>
      <c r="C50" s="4"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4" t="inlineStr">
        <is>
          <t>機能追加</t>
        </is>
      </c>
      <c r="E50" s="6" t="inlineStr">
        <is>
          <t>低</t>
        </is>
      </c>
      <c r="F50" s="4" t="inlineStr">
        <is>
          <t>その他</t>
        </is>
      </c>
      <c r="G50" s="4" t="inlineStr"/>
      <c r="H50" s="4" t="inlineStr">
        <is>
          <t>2026-05-22</t>
        </is>
      </c>
      <c r="I50" s="4" t="inlineStr">
        <is>
          <t>SRS</t>
        </is>
      </c>
      <c r="J50" s="4" t="inlineStr">
        <is>
          <t>対応完了</t>
        </is>
      </c>
      <c r="K50" s="4" t="inlineStr"/>
      <c r="L50" s="4" t="inlineStr">
        <is>
          <t>drawio でフェーズ俯瞰図を作成し、docs/figures/phases_overview.drawio.svg として保存。SRS 3.3 のプレースホルダーを図参照に置き換えてコミット</t>
        </is>
      </c>
      <c r="M50" s="4" t="inlineStr"/>
      <c r="N50" s="4" t="inlineStr">
        <is>
          <t>2026-05-22</t>
        </is>
      </c>
      <c r="O50" s="4" t="inlineStr"/>
    </row>
    <row r="51" ht="40" customHeight="1">
      <c r="A51" s="7" t="inlineStr">
        <is>
          <t>ISSUE-050</t>
        </is>
      </c>
      <c r="B51" s="7" t="inlineStr">
        <is>
          <t>SRS フェーズ2/3/3.5/4 機能関連図の新規作成</t>
        </is>
      </c>
      <c r="C51" s="7"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7" t="inlineStr">
        <is>
          <t>機能追加</t>
        </is>
      </c>
      <c r="E51" s="6" t="inlineStr">
        <is>
          <t>低</t>
        </is>
      </c>
      <c r="F51" s="7" t="inlineStr">
        <is>
          <t>その他</t>
        </is>
      </c>
      <c r="G51" s="7" t="inlineStr"/>
      <c r="H51" s="7" t="inlineStr">
        <is>
          <t>2026-05-22</t>
        </is>
      </c>
      <c r="I51" s="7" t="inlineStr">
        <is>
          <t>SRS</t>
        </is>
      </c>
      <c r="J51" s="7" t="inlineStr">
        <is>
          <t>未対応</t>
        </is>
      </c>
      <c r="K51" s="7" t="inlineStr"/>
      <c r="L51" s="7" t="inlineStr">
        <is>
          <t>drawio で各フェーズの機能関連図を作成し、docs/figures/phase2.drawio.svg 等として保存。SRS の各フェーズ節冒頭に図参照を追加してコミット</t>
        </is>
      </c>
      <c r="M51" s="7" t="inlineStr"/>
      <c r="N51" s="7" t="inlineStr"/>
      <c r="O51" s="7" t="inlineStr"/>
    </row>
  </sheetData>
  <dataValidations count="4">
    <dataValidation sqref="J2:J51" showDropDown="0" showInputMessage="0" showErrorMessage="0" allowBlank="1" type="list">
      <formula1>"未対応,対応中,対応完了,解決済,却下"</formula1>
    </dataValidation>
    <dataValidation sqref="E2:E51" showDropDown="0" showInputMessage="0" showErrorMessage="0" allowBlank="1" type="list">
      <formula1>"高,中,低"</formula1>
    </dataValidation>
    <dataValidation sqref="D2:D51" showDropDown="0" showInputMessage="0" showErrorMessage="0" allowBlank="1" type="list">
      <formula1>"機能追加,改善,調査,設計"</formula1>
    </dataValidation>
    <dataValidation sqref="I2:I51"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7"/>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50</v>
      </c>
    </row>
    <row r="3">
      <c r="A3" s="10" t="inlineStr">
        <is>
          <t>未解決件数</t>
        </is>
      </c>
      <c r="B3" s="11" t="n">
        <v>29</v>
      </c>
    </row>
    <row r="4">
      <c r="A4" s="10" t="inlineStr">
        <is>
          <t>解決済件数</t>
        </is>
      </c>
      <c r="B4" s="11" t="n">
        <v>17</v>
      </c>
    </row>
    <row r="5">
      <c r="A5" s="10" t="inlineStr">
        <is>
          <t>解決率</t>
        </is>
      </c>
      <c r="B5" s="11" t="inlineStr">
        <is>
          <t>34.0%</t>
        </is>
      </c>
    </row>
    <row r="7">
      <c r="A7" s="8" t="inlineStr">
        <is>
          <t>ステータス別</t>
        </is>
      </c>
      <c r="B7" s="9" t="n"/>
    </row>
    <row r="8">
      <c r="A8" s="10" t="inlineStr">
        <is>
          <t>未対応</t>
        </is>
      </c>
      <c r="B8" s="11" t="n">
        <v>27</v>
      </c>
    </row>
    <row r="9">
      <c r="A9" s="10" t="inlineStr">
        <is>
          <t>対応中</t>
        </is>
      </c>
      <c r="B9" s="11" t="n">
        <v>0</v>
      </c>
    </row>
    <row r="10">
      <c r="A10" s="10" t="inlineStr">
        <is>
          <t>対応完了</t>
        </is>
      </c>
      <c r="B10" s="11" t="n">
        <v>2</v>
      </c>
    </row>
    <row r="11">
      <c r="A11" s="10" t="inlineStr">
        <is>
          <t>解決済</t>
        </is>
      </c>
      <c r="B11" s="11" t="n">
        <v>17</v>
      </c>
    </row>
    <row r="12">
      <c r="A12" s="10" t="inlineStr">
        <is>
          <t>却下</t>
        </is>
      </c>
      <c r="B12" s="11" t="n">
        <v>4</v>
      </c>
    </row>
    <row r="14">
      <c r="A14" s="8" t="inlineStr">
        <is>
          <t>優先度別（未解決）</t>
        </is>
      </c>
      <c r="B14" s="9" t="n"/>
    </row>
    <row r="15">
      <c r="A15" s="10" t="inlineStr">
        <is>
          <t>高</t>
        </is>
      </c>
      <c r="B15" s="11" t="n">
        <v>8</v>
      </c>
    </row>
    <row r="16">
      <c r="A16" s="10" t="inlineStr">
        <is>
          <t>中</t>
        </is>
      </c>
      <c r="B16" s="11" t="n">
        <v>14</v>
      </c>
    </row>
    <row r="17">
      <c r="A17" s="10" t="inlineStr">
        <is>
          <t>低</t>
        </is>
      </c>
      <c r="B17" s="11" t="n">
        <v>7</v>
      </c>
    </row>
    <row r="19">
      <c r="A19" s="8" t="inlineStr">
        <is>
          <t>種別別（未解決）</t>
        </is>
      </c>
      <c r="B19" s="9" t="n"/>
    </row>
    <row r="20">
      <c r="A20" s="10" t="inlineStr">
        <is>
          <t>機能追加</t>
        </is>
      </c>
      <c r="B20" s="11" t="n">
        <v>8</v>
      </c>
    </row>
    <row r="21">
      <c r="A21" s="10" t="inlineStr">
        <is>
          <t>改善</t>
        </is>
      </c>
      <c r="B21" s="11" t="n">
        <v>15</v>
      </c>
    </row>
    <row r="22">
      <c r="A22" s="10" t="inlineStr">
        <is>
          <t>調査</t>
        </is>
      </c>
      <c r="B22" s="11" t="n">
        <v>2</v>
      </c>
    </row>
    <row r="23">
      <c r="A23" s="10" t="inlineStr">
        <is>
          <t>設計</t>
        </is>
      </c>
      <c r="B23" s="11" t="n">
        <v>1</v>
      </c>
    </row>
    <row r="25">
      <c r="A25" s="8" t="inlineStr">
        <is>
          <t>カテゴリ別（未解決）</t>
        </is>
      </c>
      <c r="B25" s="9" t="n"/>
    </row>
    <row r="26">
      <c r="A26" s="10" t="inlineStr">
        <is>
          <t>解析エンジン</t>
        </is>
      </c>
      <c r="B26" s="11" t="n">
        <v>6</v>
      </c>
    </row>
    <row r="27">
      <c r="A27" s="10" t="inlineStr">
        <is>
          <t>merge.py</t>
        </is>
      </c>
      <c r="B27" s="11" t="n">
        <v>3</v>
      </c>
    </row>
    <row r="28">
      <c r="A28" s="10" t="inlineStr">
        <is>
          <t>GeoJSON出力</t>
        </is>
      </c>
      <c r="B28" s="11" t="n">
        <v>1</v>
      </c>
    </row>
    <row r="29">
      <c r="A29" s="10" t="inlineStr">
        <is>
          <t>設定</t>
        </is>
      </c>
      <c r="B29" s="11" t="n">
        <v>1</v>
      </c>
    </row>
    <row r="30">
      <c r="A30" s="10" t="inlineStr">
        <is>
          <t>その他</t>
        </is>
      </c>
      <c r="B30" s="11" t="n">
        <v>15</v>
      </c>
    </row>
    <row r="32">
      <c r="A32" s="8" t="inlineStr">
        <is>
          <t>ステージ別（未解決）</t>
        </is>
      </c>
      <c r="B32" s="9" t="n"/>
    </row>
    <row r="33">
      <c r="A33" s="10" t="inlineStr">
        <is>
          <t>URD</t>
        </is>
      </c>
      <c r="B33" s="11" t="n">
        <v>2</v>
      </c>
    </row>
    <row r="34">
      <c r="A34" s="10" t="inlineStr">
        <is>
          <t>SRS</t>
        </is>
      </c>
      <c r="B34" s="11" t="n">
        <v>18</v>
      </c>
    </row>
    <row r="35">
      <c r="A35" s="10" t="inlineStr">
        <is>
          <t>HLD</t>
        </is>
      </c>
      <c r="B35" s="11" t="n">
        <v>1</v>
      </c>
    </row>
    <row r="36">
      <c r="A36" s="10" t="inlineStr">
        <is>
          <t>COD</t>
        </is>
      </c>
      <c r="B36" s="11" t="n">
        <v>6</v>
      </c>
    </row>
    <row r="37">
      <c r="A37" s="10" t="inlineStr">
        <is>
          <t>ST</t>
        </is>
      </c>
      <c r="B37"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21</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2026-05-22T09:41:28Z</dcterms:created>
  <dcterms:modified xsi:type="dcterms:W3CDTF">2026-05-22T09:41:28Z</dcterms:modified>
</cp:coreProperties>
</file>