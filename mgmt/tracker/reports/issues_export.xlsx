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'収束グラフ'!$A$2:$A$24</f>
            </strRef>
          </cat>
          <val>
            <numRef>
              <f>'収束グラフ'!$B$2:$B$24</f>
            </numRef>
          </val>
        </ser>
        <ser>
          <idx val="1"/>
          <order val="1"/>
          <tx>
            <strRef>
              <f>'収束グラフ'!C1</f>
            </strRef>
          </tx>
          <spPr>
            <a:ln w="20000">
              <a:solidFill>
                <a:srgbClr val="4472C4"/>
              </a:solidFill>
              <a:prstDash val="solid"/>
            </a:ln>
          </spPr>
          <marker>
            <symbol val="none"/>
            <spPr>
              <a:ln>
                <a:prstDash val="solid"/>
              </a:ln>
            </spPr>
          </marker>
          <cat>
            <strRef>
              <f>'収束グラフ'!$A$2:$A$24</f>
            </strRef>
          </cat>
          <val>
            <numRef>
              <f>'収束グラフ'!$C$2:$C$24</f>
            </numRef>
          </val>
        </ser>
        <ser>
          <idx val="2"/>
          <order val="2"/>
          <tx>
            <strRef>
              <f>'収束グラフ'!D1</f>
            </strRef>
          </tx>
          <spPr>
            <a:ln w="20000">
              <a:solidFill>
                <a:srgbClr val="70AD47"/>
              </a:solidFill>
              <a:prstDash val="solid"/>
            </a:ln>
          </spPr>
          <marker>
            <symbol val="none"/>
            <spPr>
              <a:ln>
                <a:prstDash val="solid"/>
              </a:ln>
            </spPr>
          </marker>
          <cat>
            <strRef>
              <f>'収束グラフ'!$A$2:$A$24</f>
            </strRef>
          </cat>
          <val>
            <numRef>
              <f>'収束グラフ'!$D$2:$D$24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対応中</t>
        </is>
      </c>
      <c r="K15" s="7" t="inlineStr"/>
      <c r="L15" s="7"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7"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t>
        </is>
      </c>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is>
          <t>【Opus相談推奨】3案あり、FR-013/FR-014/FR-016/merge.py/ビューアの広範囲に影響する複合判断。
相談ポイント:
(1) 案A・案B・案Cそれぞれの長所短所を、影響範囲（FR-013出力構造、merge.py突合ロジック、ビューア表示）を含めて比較
(2) 'unresolved' を第4のmatch_statusに追加した場合のADR-007との整合性
(3) コル等高線フォールバック表現（仮Polygon/空Polygon）の point-in-polygon 突合動作への影響
(4) 手動調査待ちピーク = 何件想定か。1〜2件なら手動対応で十分か、自動化が必要か
(5) area_truncated=true が4×4でも解消しなかった場合の挙動（is_tile_top=1とは独立に発生しうる）</t>
        </is>
      </c>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対応完了</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is>
          <t>2026-05-18</t>
        </is>
      </c>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COD</t>
        </is>
      </c>
      <c r="J38" s="4" t="inlineStr">
        <is>
          <t>未対応</t>
        </is>
      </c>
      <c r="K38" s="4" t="inlineStr"/>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COD</t>
        </is>
      </c>
      <c r="J39" s="7" t="inlineStr">
        <is>
          <t>未対応</t>
        </is>
      </c>
      <c r="K39" s="7" t="inlineStr"/>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COD</t>
        </is>
      </c>
      <c r="J40" s="4" t="inlineStr">
        <is>
          <t>未対応</t>
        </is>
      </c>
      <c r="K40" s="4" t="inlineStr"/>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FR-016（アクティベーションゾーン計算）を C++ + OpenCV で新規実装する。
【作業範囲】
- ピーク位置を起点とした cv::floodFill で標高差 25m 以内の連続領域を抽出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解析範囲外（メッシュ地理範囲外）に Flood Fill が到達したら area_truncated=true を付与
- 同じ Flood Fill を col_elev 閾値で再実行してコル等高線ポリゴンを生成（is_tile_top=1 はスキップ）
- per-mesh GeoJSON ファイル &lt;meshcode&gt;_activation.geojson を出力
【新規モジュール】
- src/activation.cpp / activation.h（Flood Fill 呼び出し + 輪郭抽出 + GeoJSON シリアライズ）
- mesh_analyze.cpp の CSV 出力ループ内から呼び出し
【検証ポイント】
- per-mesh &lt;meshcode&gt;_activation.geojson が生成される
- 地理院地図上に重ねて目視確認（SOTA ルール 25m 連続が反映されている）
- area_truncated フラグが解析範囲端のケースで正しく付与される
- コル等高線ポリゴンが feature_type="key_col_boundary" で出力される
- is_tile_top=1 のピークではコル等高線が出力されない
【参照】
- ADR-010 docs/decisions/ADR-010-cpp-opencv-migration.md
- SRS FR-016 docs/02_SRS.md
- SRS 6.8 中間ファイル: メッシュ別アクティベーションゾーン GeoJSON</t>
        </is>
      </c>
      <c r="D41" s="7" t="inlineStr">
        <is>
          <t>機能追加</t>
        </is>
      </c>
      <c r="E41" s="3" t="inlineStr">
        <is>
          <t>高</t>
        </is>
      </c>
      <c r="F41" s="7" t="inlineStr">
        <is>
          <t>解析エンジン</t>
        </is>
      </c>
      <c r="G41" s="7" t="inlineStr">
        <is>
          <t>JJ1XGO</t>
        </is>
      </c>
      <c r="H41" s="7" t="inlineStr">
        <is>
          <t>2026-05-17</t>
        </is>
      </c>
      <c r="I41" s="7" t="inlineStr">
        <is>
          <t>COD</t>
        </is>
      </c>
      <c r="J41" s="7" t="inlineStr">
        <is>
          <t>未対応</t>
        </is>
      </c>
      <c r="K41" s="7" t="inlineStr"/>
      <c r="L41" s="7" t="inlineStr"/>
      <c r="M41" s="7" t="inlineStr">
        <is>
          <t>【Opus相談推奨】OpenCV実装の細部設計・メモリ最適化・エッジケース整理に深い設計判断が必要。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area_truncated 判定の正確な定義（'メッシュ地理範囲外' = フリンジ含むか含まないか、1px海面ボーダーの扱い）
(4) ピーク座標がメッシュ境界に近い場合の Flood Fill 挙動（隣接メッシュの標高データを参照すべきか）
(5) ピーク数百件の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sheetData>
  <dataValidations count="4">
    <dataValidation sqref="J2:J41" showDropDown="0" showInputMessage="0" showErrorMessage="0" allowBlank="1" type="list">
      <formula1>"未対応,対応中,対応完了,解決済,却下"</formula1>
    </dataValidation>
    <dataValidation sqref="E2:E41" showDropDown="0" showInputMessage="0" showErrorMessage="0" allowBlank="1" type="list">
      <formula1>"高,中,低"</formula1>
    </dataValidation>
    <dataValidation sqref="D2:D41" showDropDown="0" showInputMessage="0" showErrorMessage="0" allowBlank="1" type="list">
      <formula1>"機能追加,改善,調査,設計"</formula1>
    </dataValidation>
    <dataValidation sqref="I2:I41"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40</v>
      </c>
    </row>
    <row r="3">
      <c r="A3" s="10" t="inlineStr">
        <is>
          <t>未解決件数</t>
        </is>
      </c>
      <c r="B3" s="11" t="n">
        <v>26</v>
      </c>
    </row>
    <row r="4">
      <c r="A4" s="10" t="inlineStr">
        <is>
          <t>解決済件数</t>
        </is>
      </c>
      <c r="B4" s="11" t="n">
        <v>10</v>
      </c>
    </row>
    <row r="5">
      <c r="A5" s="10" t="inlineStr">
        <is>
          <t>解決率</t>
        </is>
      </c>
      <c r="B5" s="11" t="inlineStr">
        <is>
          <t>25.0%</t>
        </is>
      </c>
    </row>
    <row r="7">
      <c r="A7" s="8" t="inlineStr">
        <is>
          <t>ステータス別</t>
        </is>
      </c>
      <c r="B7" s="9" t="n"/>
    </row>
    <row r="8">
      <c r="A8" s="10" t="inlineStr">
        <is>
          <t>未対応</t>
        </is>
      </c>
      <c r="B8" s="11" t="n">
        <v>24</v>
      </c>
    </row>
    <row r="9">
      <c r="A9" s="10" t="inlineStr">
        <is>
          <t>対応中</t>
        </is>
      </c>
      <c r="B9" s="11" t="n">
        <v>1</v>
      </c>
    </row>
    <row r="10">
      <c r="A10" s="10" t="inlineStr">
        <is>
          <t>対応完了</t>
        </is>
      </c>
      <c r="B10" s="11" t="n">
        <v>1</v>
      </c>
    </row>
    <row r="11">
      <c r="A11" s="10" t="inlineStr">
        <is>
          <t>解決済</t>
        </is>
      </c>
      <c r="B11" s="11" t="n">
        <v>10</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12</v>
      </c>
    </row>
    <row r="22">
      <c r="A22" s="10" t="inlineStr">
        <is>
          <t>調査</t>
        </is>
      </c>
      <c r="B22" s="11" t="n">
        <v>2</v>
      </c>
    </row>
    <row r="23">
      <c r="A23" s="10" t="inlineStr">
        <is>
          <t>設計</t>
        </is>
      </c>
      <c r="B23" s="11" t="n">
        <v>4</v>
      </c>
    </row>
    <row r="25">
      <c r="A25" s="8" t="inlineStr">
        <is>
          <t>カテゴリ別（未解決）</t>
        </is>
      </c>
      <c r="B25" s="9" t="n"/>
    </row>
    <row r="26">
      <c r="A26" s="10" t="inlineStr">
        <is>
          <t>解析エンジン</t>
        </is>
      </c>
      <c r="B26" s="11" t="n">
        <v>6</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13</v>
      </c>
    </row>
    <row r="34">
      <c r="A34" s="10" t="inlineStr">
        <is>
          <t>HLD</t>
        </is>
      </c>
      <c r="B34" s="11" t="n">
        <v>1</v>
      </c>
    </row>
    <row r="35">
      <c r="A35" s="10" t="inlineStr">
        <is>
          <t>COD</t>
        </is>
      </c>
      <c r="B35" s="11" t="n">
        <v>8</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40</v>
      </c>
      <c r="C24" t="n">
        <v>16</v>
      </c>
      <c r="D24" t="n">
        <v>14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2026-05-19T08:41:42Z</dcterms:created>
  <dcterms:modified xsi:type="dcterms:W3CDTF">2026-05-19T08:41:42Z</dcterms:modified>
</cp:coreProperties>
</file>