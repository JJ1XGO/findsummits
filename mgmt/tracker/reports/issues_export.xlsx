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EBF3FB"/>
      </patternFill>
    </fill>
    <fill>
      <patternFill patternType="solid">
        <fgColor rgb="00FFE0E0"/>
      </patternFill>
    </fill>
    <fill>
      <patternFill patternType="solid">
        <fgColor rgb="00FFFFFF"/>
      </patternFill>
    </fill>
    <fill>
      <patternFill patternType="solid">
        <fgColor rgb="00F0F0F0"/>
      </patternFill>
    </fill>
    <fill>
      <patternFill patternType="solid">
        <fgColor rgb="00FFFBE0"/>
      </patternFill>
    </fill>
    <fill>
      <patternFill patternType="solid">
        <fgColor rgb="00E8F5E9"/>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2" fillId="6" borderId="1" applyAlignment="1" pivotButton="0" quotePrefix="0" xfId="0">
      <alignment horizontal="left" vertical="center" wrapText="1"/>
    </xf>
    <xf numFmtId="0" fontId="3" fillId="7" borderId="1" applyAlignment="1" pivotButton="0" quotePrefix="0" xfId="0">
      <alignment horizontal="left" vertical="center" wrapText="1"/>
    </xf>
    <xf numFmtId="0" fontId="3"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5" borderId="1" applyAlignment="1" pivotButton="0" quotePrefix="0" xfId="0">
      <alignment horizontal="center" vertical="center"/>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scatterChart>
        <ser>
          <idx val="0"/>
          <order val="0"/>
          <tx>
            <v>累計登録</v>
          </tx>
          <spPr>
            <a:ln w="20000">
              <a:solidFill>
                <a:srgbClr val="FF0000"/>
              </a:solidFill>
              <a:prstDash val="solid"/>
            </a:ln>
          </spPr>
          <marker>
            <symbol val="circle"/>
            <size val="5"/>
            <spPr>
              <a:ln>
                <a:prstDash val="solid"/>
              </a:ln>
            </spPr>
          </marker>
          <xVal>
            <numRef>
              <f>'収束グラフ'!$A$2:$A$22</f>
            </numRef>
          </xVal>
          <yVal>
            <numRef>
              <f>'収束グラフ'!$B$2:$B$22</f>
            </numRef>
          </yVal>
        </ser>
        <ser>
          <idx val="1"/>
          <order val="1"/>
          <tx>
            <v>対応累計</v>
          </tx>
          <spPr>
            <a:ln w="20000">
              <a:solidFill>
                <a:srgbClr val="4472C4"/>
              </a:solidFill>
              <a:prstDash val="solid"/>
            </a:ln>
          </spPr>
          <marker>
            <symbol val="circle"/>
            <size val="5"/>
            <spPr>
              <a:ln>
                <a:prstDash val="solid"/>
              </a:ln>
            </spPr>
          </marker>
          <xVal>
            <numRef>
              <f>'収束グラフ'!$A$2:$A$22</f>
            </numRef>
          </xVal>
          <yVal>
            <numRef>
              <f>'収束グラフ'!$C$2:$C$22</f>
            </numRef>
          </yVal>
        </ser>
        <ser>
          <idx val="2"/>
          <order val="2"/>
          <tx>
            <v>確認累計</v>
          </tx>
          <spPr>
            <a:ln w="20000">
              <a:solidFill>
                <a:srgbClr val="70AD47"/>
              </a:solidFill>
              <a:prstDash val="solid"/>
            </a:ln>
          </spPr>
          <marker>
            <symbol val="circle"/>
            <size val="5"/>
            <spPr>
              <a:ln>
                <a:prstDash val="solid"/>
              </a:ln>
            </spPr>
          </marker>
          <xVal>
            <numRef>
              <f>'収束グラフ'!$A$2:$A$22</f>
            </numRef>
          </xVal>
          <yVal>
            <numRef>
              <f>'収束グラフ'!$D$2:$D$22</f>
            </numRef>
          </yVal>
        </ser>
        <axId val="10"/>
        <axId val="20"/>
      </scatterChart>
      <valAx>
        <axId val="10"/>
        <scaling>
          <orientation val="minMax"/>
          <max val="46159"/>
          <min val="46139"/>
        </scaling>
        <axPos val="l"/>
        <majorGridlines/>
        <title>
          <tx>
            <rich>
              <a:bodyPr/>
              <a:p>
                <a:pPr>
                  <a:defRPr/>
                </a:pPr>
                <a:r>
                  <a:t>日付</a:t>
                </a:r>
              </a:p>
            </rich>
          </tx>
        </title>
        <numFmt formatCode="YYYY-MM-DD" sourceLinked="0"/>
        <majorTickMark val="none"/>
        <minorTickMark val="none"/>
        <crossAx val="20"/>
      </valAx>
      <valAx>
        <axId val="2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未対応</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c r="O2" s="2" t="inlineStr"/>
    </row>
    <row r="3" ht="40" customHeight="1">
      <c r="A3" s="4" t="inlineStr">
        <is>
          <t>ISSUE-002</t>
        </is>
      </c>
      <c r="B3" s="4" t="inlineStr">
        <is>
          <t>match_status 判定の merge.py 本実装</t>
        </is>
      </c>
      <c r="C3" s="4" t="inlineStr">
        <is>
          <t>現行の merge.py には match_status（NEW/MATCH/MOVED/ELEV_CHANGE/DELETED）の本実装が未完了。突合しきい値: 距離 ≤ 150m かつ標高差 &lt; 20m で同一サミットとみなす。DELETED は mesh_bbox() によるbbox内サミットのみ対象。</t>
        </is>
      </c>
      <c r="D3" s="4" t="inlineStr">
        <is>
          <t>機能追加</t>
        </is>
      </c>
      <c r="E3" s="3" t="inlineStr">
        <is>
          <t>高</t>
        </is>
      </c>
      <c r="F3" s="4" t="inlineStr">
        <is>
          <t>merge.py</t>
        </is>
      </c>
      <c r="G3" s="4" t="inlineStr">
        <is>
          <t>JJ1XGO</t>
        </is>
      </c>
      <c r="H3" s="4" t="inlineStr">
        <is>
          <t>2026-04-27</t>
        </is>
      </c>
      <c r="I3" s="4" t="inlineStr">
        <is>
          <t>COD</t>
        </is>
      </c>
      <c r="J3" s="4" t="inlineStr">
        <is>
          <t>未対応</t>
        </is>
      </c>
      <c r="K3" s="4" t="inlineStr">
        <is>
          <t>JJ1XGO</t>
        </is>
      </c>
      <c r="L3" s="4" t="inlineStr"/>
      <c r="M3" s="4" t="inlineStr">
        <is>
          <t>ISSUE-001（ステップ3検証）の後に着手。突合列: match_status, summit_code, summit_name, peak_lat, peak_lon, peak_elev, col_lat, col_lon, col_elev, prominence, orig_lat, orig_lon, orig_elev</t>
        </is>
      </c>
      <c r="N3" s="4" t="inlineStr"/>
      <c r="O3" s="4" t="inlineStr"/>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is>
          <t>未対応</t>
        </is>
      </c>
      <c r="K4" s="2" t="inlineStr">
        <is>
          <t>JJ1XGO</t>
        </is>
      </c>
      <c r="L4" s="2" t="inlineStr"/>
      <c r="M4" s="2" t="inlineStr">
        <is>
          <t>着手前に plan.md の Ph.2〜Ph.5 設計と現在のアーキテクチャの整合を確認すること。ref/SOTA-Summit-list-revision-request.xlsx の列定義を事前確認。</t>
        </is>
      </c>
      <c r="N4" s="2" t="inlineStr"/>
      <c r="O4" s="2" t="inlineStr"/>
    </row>
    <row r="5" ht="40" customHeight="1">
      <c r="A5" s="5" t="inlineStr">
        <is>
          <t>ISSUE-004</t>
        </is>
      </c>
      <c r="B5" s="5" t="inlineStr">
        <is>
          <t>output_geojson.py 新規作成（GeoJSON生成）</t>
        </is>
      </c>
      <c r="C5" s="5"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5" t="inlineStr">
        <is>
          <t>機能追加</t>
        </is>
      </c>
      <c r="E5" s="6" t="inlineStr">
        <is>
          <t>中</t>
        </is>
      </c>
      <c r="F5" s="5" t="inlineStr">
        <is>
          <t>GeoJSON出力</t>
        </is>
      </c>
      <c r="G5" s="5" t="inlineStr">
        <is>
          <t>JJ1XGO</t>
        </is>
      </c>
      <c r="H5" s="5" t="inlineStr">
        <is>
          <t>2026-04-27</t>
        </is>
      </c>
      <c r="I5" s="5" t="inlineStr">
        <is>
          <t>COD</t>
        </is>
      </c>
      <c r="J5" s="5" t="inlineStr">
        <is>
          <t>解決済</t>
        </is>
      </c>
      <c r="K5" s="5" t="inlineStr">
        <is>
          <t>JJ1XGO</t>
        </is>
      </c>
      <c r="L5" s="5" t="inlineStr"/>
      <c r="M5" s="5" t="inlineStr">
        <is>
          <t>SOTA スコア別色（MATCHのみ）: 10点=赤, 8点=黄, 6点=緑, 4点=シアン, 2点=青, 1点=紫</t>
        </is>
      </c>
      <c r="N5" s="5" t="inlineStr">
        <is>
          <t>2026-04-27</t>
        </is>
      </c>
      <c r="O5" s="5"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6" t="inlineStr">
        <is>
          <t>中</t>
        </is>
      </c>
      <c r="F6" s="2" t="inlineStr">
        <is>
          <t>解析エンジン</t>
        </is>
      </c>
      <c r="G6" s="2" t="inlineStr">
        <is>
          <t>JJ1XGO</t>
        </is>
      </c>
      <c r="H6" s="2" t="inlineStr">
        <is>
          <t>2026-04-27</t>
        </is>
      </c>
      <c r="I6" s="2" t="inlineStr">
        <is>
          <t>ST</t>
        </is>
      </c>
      <c r="J6" s="2" t="inlineStr">
        <is>
          <t>未対応</t>
        </is>
      </c>
      <c r="K6" s="2" t="inlineStr">
        <is>
          <t>JJ1XGO</t>
        </is>
      </c>
      <c r="L6" s="2" t="inlineStr"/>
      <c r="M6" s="2" t="inlineStr">
        <is>
          <t>複数メッシュ境界付近の既知の山が GeoJSON で正しく1件表示されることも確認。DEM5なしメッシュの DEM10 フォールバック結果の妥当性も確認。</t>
        </is>
      </c>
      <c r="N6" s="2" t="inlineStr"/>
      <c r="O6" s="2" t="inlineStr"/>
    </row>
    <row r="7" ht="40" customHeight="1">
      <c r="A7" s="4" t="inlineStr">
        <is>
          <t>ISSUE-006</t>
        </is>
      </c>
      <c r="B7" s="4" t="inlineStr">
        <is>
          <t>tolerance_px の調整（ステップ3結果を見て決定）</t>
        </is>
      </c>
      <c r="C7" s="4" t="inlineStr">
        <is>
          <t>現在 tolerance_px=0（完全一致）。ISSUE-001 のステップ3結果を確認してから適切な値を決定する。設定は fetch_config.ini で管理。</t>
        </is>
      </c>
      <c r="D7" s="4" t="inlineStr">
        <is>
          <t>改善</t>
        </is>
      </c>
      <c r="E7" s="6" t="inlineStr">
        <is>
          <t>中</t>
        </is>
      </c>
      <c r="F7" s="4" t="inlineStr">
        <is>
          <t>merge.py</t>
        </is>
      </c>
      <c r="G7" s="4" t="inlineStr">
        <is>
          <t>JJ1XGO</t>
        </is>
      </c>
      <c r="H7" s="4" t="inlineStr">
        <is>
          <t>2026-04-27</t>
        </is>
      </c>
      <c r="I7" s="4" t="inlineStr">
        <is>
          <t>IT</t>
        </is>
      </c>
      <c r="J7" s="4" t="inlineStr">
        <is>
          <t>未対応</t>
        </is>
      </c>
      <c r="K7" s="4" t="inlineStr">
        <is>
          <t>JJ1XGO</t>
        </is>
      </c>
      <c r="L7" s="4" t="inlineStr"/>
      <c r="M7" s="4" t="inlineStr">
        <is>
          <t>ISSUE-001 完了後に着手</t>
        </is>
      </c>
      <c r="N7" s="4" t="inlineStr"/>
      <c r="O7" s="4" t="inlineStr"/>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7" t="inlineStr">
        <is>
          <t>低</t>
        </is>
      </c>
      <c r="F8" s="2" t="inlineStr">
        <is>
          <t>その他</t>
        </is>
      </c>
      <c r="G8" s="2" t="inlineStr">
        <is>
          <t>JJ1XGO</t>
        </is>
      </c>
      <c r="H8" s="2" t="inlineStr">
        <is>
          <t>2026-04-27</t>
        </is>
      </c>
      <c r="I8" s="2" t="inlineStr">
        <is>
          <t>OPS</t>
        </is>
      </c>
      <c r="J8" s="2" t="inlineStr">
        <is>
          <t>未対応</t>
        </is>
      </c>
      <c r="K8" s="2" t="inlineStr">
        <is>
          <t>JJ1XGO</t>
        </is>
      </c>
      <c r="L8" s="2" t="inlineStr"/>
      <c r="M8" s="2" t="inlineStr">
        <is>
          <t>フルパイプ検証前に仕様を詰めても実行時の問題で仕様変更になりやすいため後回し</t>
        </is>
      </c>
      <c r="N8" s="2" t="inlineStr"/>
      <c r="O8" s="2" t="inlineStr"/>
    </row>
    <row r="9" ht="40" customHeight="1">
      <c r="A9" s="4" t="inlineStr">
        <is>
          <t>ISSUE-008</t>
        </is>
      </c>
      <c r="B9" s="4" t="inlineStr">
        <is>
          <t>申請用出力フェーズ着手前の設計確認（plan_v1.md との整合確認）</t>
        </is>
      </c>
      <c r="C9" s="4"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4" t="inlineStr">
        <is>
          <t>設計</t>
        </is>
      </c>
      <c r="E9" s="3" t="inlineStr">
        <is>
          <t>高</t>
        </is>
      </c>
      <c r="F9" s="4" t="inlineStr">
        <is>
          <t>その他</t>
        </is>
      </c>
      <c r="G9" s="4" t="inlineStr">
        <is>
          <t>JJ1XGO</t>
        </is>
      </c>
      <c r="H9" s="4" t="inlineStr">
        <is>
          <t>2026-04-27</t>
        </is>
      </c>
      <c r="I9" s="4" t="inlineStr">
        <is>
          <t>HLD</t>
        </is>
      </c>
      <c r="J9" s="4" t="inlineStr">
        <is>
          <t>未対応</t>
        </is>
      </c>
      <c r="K9" s="4" t="inlineStr">
        <is>
          <t>JJ1XGO</t>
        </is>
      </c>
      <c r="L9" s="4" t="inlineStr"/>
      <c r="M9" s="4" t="inlineStr">
        <is>
          <t>plan_v1.md: .claude/mgmt/plan_v1.md</t>
        </is>
      </c>
      <c r="N9" s="4" t="inlineStr"/>
      <c r="O9" s="4" t="inlineStr"/>
    </row>
    <row r="10" ht="40" customHeight="1">
      <c r="A10" s="2" t="inlineStr">
        <is>
          <t>ISSUE-009</t>
        </is>
      </c>
      <c r="B10" s="2" t="inlineStr">
        <is>
          <t>新規サミット仮コードへの地域コード自動付与</t>
        </is>
      </c>
      <c r="C10" s="2" t="inlineStr">
        <is>
          <t>現在は仮コードが ZZ/ZZ-001 形式の連番。座標から都道府県を判定し、SOTA JA のアソシエーション/リージョンコード（北海道・本州・四国・九州）を仮コードに反映できるか実装を検討する。</t>
        </is>
      </c>
      <c r="D10" s="2" t="inlineStr">
        <is>
          <t>機能追加</t>
        </is>
      </c>
      <c r="E10" s="7" t="inlineStr">
        <is>
          <t>低</t>
        </is>
      </c>
      <c r="F10" s="2" t="inlineStr">
        <is>
          <t>merge.py</t>
        </is>
      </c>
      <c r="G10" s="2" t="inlineStr">
        <is>
          <t>JJ1XGO</t>
        </is>
      </c>
      <c r="H10" s="2" t="inlineStr">
        <is>
          <t>2026-04-27</t>
        </is>
      </c>
      <c r="I10" s="2" t="inlineStr">
        <is>
          <t>HLD</t>
        </is>
      </c>
      <c r="J10" s="2" t="inlineStr">
        <is>
          <t>対応完了</t>
        </is>
      </c>
      <c r="K10" s="2" t="inlineStr">
        <is>
          <t>JJ1XGO</t>
        </is>
      </c>
      <c r="L10" s="2" t="inlineStr"/>
      <c r="M10" s="2" t="inlineStr">
        <is>
          <t>将来実装候補。フルパイプ検証・申請用出力フェーズ完了後に検討。</t>
        </is>
      </c>
      <c r="N10" s="2" t="inlineStr">
        <is>
          <t>2026-05-08</t>
        </is>
      </c>
      <c r="O10" s="2" t="inlineStr"/>
    </row>
    <row r="11" ht="40" customHeight="1">
      <c r="A11" s="4" t="inlineStr">
        <is>
          <t>ISSUE-010</t>
        </is>
      </c>
      <c r="B11" s="4" t="inlineStr">
        <is>
          <t>セットアップ手順の整備（README・requirements.txt・.gitignore・CLAUDE.md）</t>
        </is>
      </c>
      <c r="C11" s="4"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4" t="inlineStr">
        <is>
          <t>改善</t>
        </is>
      </c>
      <c r="E11" s="6" t="inlineStr">
        <is>
          <t>中</t>
        </is>
      </c>
      <c r="F11" s="4" t="inlineStr">
        <is>
          <t>設定</t>
        </is>
      </c>
      <c r="G11" s="4" t="inlineStr"/>
      <c r="H11" s="4" t="inlineStr">
        <is>
          <t>2026-04-28</t>
        </is>
      </c>
      <c r="I11" s="4" t="inlineStr">
        <is>
          <t>OPS</t>
        </is>
      </c>
      <c r="J11" s="4" t="inlineStr">
        <is>
          <t>未対応</t>
        </is>
      </c>
      <c r="K11" s="4" t="inlineStr">
        <is>
          <t>JJ1XGO</t>
        </is>
      </c>
      <c r="L11" s="4" t="inlineStr">
        <is>
          <t>requirements.txt・.gitignore・CLAUDE.md は小規模な編集。README.md は現状に合わせて内容を整理してから更新する</t>
        </is>
      </c>
      <c r="M11" s="4" t="inlineStr"/>
      <c r="N11" s="4" t="inlineStr"/>
      <c r="O11" s="4" t="inlineStr"/>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6" t="inlineStr">
        <is>
          <t>中</t>
        </is>
      </c>
      <c r="F12" s="2" t="inlineStr">
        <is>
          <t>設定</t>
        </is>
      </c>
      <c r="G12" s="2" t="inlineStr"/>
      <c r="H12" s="2" t="inlineStr">
        <is>
          <t>2026-04-28</t>
        </is>
      </c>
      <c r="I12" s="2" t="inlineStr">
        <is>
          <t>OPS</t>
        </is>
      </c>
      <c r="J12" s="2" t="inlineStr">
        <is>
          <t>対応完了</t>
        </is>
      </c>
      <c r="K12" s="2" t="inlineStr"/>
      <c r="L12" s="2" t="inlineStr">
        <is>
          <t>CLAUDE.mdのルールと制約セクションに追記</t>
        </is>
      </c>
      <c r="M12" s="2" t="inlineStr"/>
      <c r="N12" s="2" t="inlineStr">
        <is>
          <t>2026-04-28</t>
        </is>
      </c>
      <c r="O12" s="2" t="inlineStr"/>
    </row>
    <row r="13" ht="40" customHeight="1">
      <c r="A13" s="4" t="inlineStr">
        <is>
          <t>ISSUE-012</t>
        </is>
      </c>
      <c r="B13" s="4" t="inlineStr">
        <is>
          <t>matched ピークの標高差扱いの方針決定</t>
        </is>
      </c>
      <c r="C13" s="4" t="inlineStr">
        <is>
          <t>match_status=matched かつ peak_elev と sota_alt_m に差異がある場合、申請書に「変更」として出力するか否か、また何m以上の差異を「変更」扱いにするかの閾値を決定する。</t>
        </is>
      </c>
      <c r="D13" s="4" t="inlineStr">
        <is>
          <t>設計</t>
        </is>
      </c>
      <c r="E13" s="6" t="inlineStr">
        <is>
          <t>中</t>
        </is>
      </c>
      <c r="F13" s="4" t="inlineStr"/>
      <c r="G13" s="4" t="inlineStr">
        <is>
          <t>JJ1XGO</t>
        </is>
      </c>
      <c r="H13" s="4" t="inlineStr">
        <is>
          <t>2026-05-08</t>
        </is>
      </c>
      <c r="I13" s="4" t="inlineStr">
        <is>
          <t>SRS</t>
        </is>
      </c>
      <c r="J13" s="4" t="inlineStr">
        <is>
          <t>対応完了</t>
        </is>
      </c>
      <c r="K13" s="4" t="inlineStr"/>
      <c r="L13" s="4" t="inlineStr"/>
      <c r="M13" s="4" t="inlineStr"/>
      <c r="N13" s="4" t="inlineStr">
        <is>
          <t>2026-05-10</t>
        </is>
      </c>
      <c r="O13" s="4" t="inlineStr"/>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6" t="inlineStr">
        <is>
          <t>中</t>
        </is>
      </c>
      <c r="F14" s="2" t="inlineStr"/>
      <c r="G14" s="2" t="inlineStr"/>
      <c r="H14" s="2" t="inlineStr">
        <is>
          <t>2026-05-08</t>
        </is>
      </c>
      <c r="I14" s="2" t="inlineStr">
        <is>
          <t>COD</t>
        </is>
      </c>
      <c r="J14" s="2" t="inlineStr">
        <is>
          <t>未対応</t>
        </is>
      </c>
      <c r="K14" s="2" t="inlineStr">
        <is>
          <t>JJ1XGO</t>
        </is>
      </c>
      <c r="L14" s="2" t="inlineStr"/>
      <c r="M14" s="2" t="inlineStr"/>
      <c r="N14" s="2" t="inlineStr"/>
      <c r="O14" s="2" t="inlineStr"/>
    </row>
    <row r="15" ht="40" customHeight="1">
      <c r="A15" s="4" t="inlineStr">
        <is>
          <t>ISSUE-014</t>
        </is>
      </c>
      <c r="B15" s="4" t="inlineStr">
        <is>
          <t>削除候補サミットの最近接検出ピーク特定</t>
        </is>
      </c>
      <c r="C15" s="4"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4" t="inlineStr">
        <is>
          <t>機能追加</t>
        </is>
      </c>
      <c r="E15" s="6" t="inlineStr">
        <is>
          <t>中</t>
        </is>
      </c>
      <c r="F15" s="4" t="inlineStr"/>
      <c r="G15" s="4" t="inlineStr"/>
      <c r="H15" s="4" t="inlineStr">
        <is>
          <t>2026-05-09</t>
        </is>
      </c>
      <c r="I15" s="4" t="inlineStr">
        <is>
          <t>SRS</t>
        </is>
      </c>
      <c r="J15" s="4" t="inlineStr">
        <is>
          <t>対応完了</t>
        </is>
      </c>
      <c r="K15" s="4" t="inlineStr"/>
      <c r="L15" s="4" t="inlineStr"/>
      <c r="M15" s="4" t="inlineStr"/>
      <c r="N15" s="4" t="inlineStr">
        <is>
          <t>2026-05-10</t>
        </is>
      </c>
      <c r="O15" s="4" t="inlineStr"/>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6" t="inlineStr">
        <is>
          <t>中</t>
        </is>
      </c>
      <c r="F16" s="2" t="inlineStr"/>
      <c r="G16" s="2" t="inlineStr"/>
      <c r="H16" s="2" t="inlineStr">
        <is>
          <t>2026-05-09</t>
        </is>
      </c>
      <c r="I16" s="2" t="inlineStr">
        <is>
          <t>SRS</t>
        </is>
      </c>
      <c r="J16" s="2" t="inlineStr">
        <is>
          <t>未対応</t>
        </is>
      </c>
      <c r="K16" s="2" t="inlineStr"/>
      <c r="L16" s="2" t="inlineStr"/>
      <c r="M16" s="2" t="inlineStr"/>
      <c r="N16" s="2" t="inlineStr"/>
      <c r="O16" s="2" t="inlineStr"/>
    </row>
    <row r="17" ht="40" customHeight="1">
      <c r="A17" s="4" t="inlineStr">
        <is>
          <t>ISSUE-016</t>
        </is>
      </c>
      <c r="B17" s="4" t="inlineStr">
        <is>
          <t>merge.py: --mesh-list 指定時は対象メッシュの CSV のみ読み込む</t>
        </is>
      </c>
      <c r="C17" s="4"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4" t="inlineStr"/>
      <c r="E17" s="6" t="inlineStr">
        <is>
          <t>中</t>
        </is>
      </c>
      <c r="F17" s="4" t="inlineStr">
        <is>
          <t>merge.py</t>
        </is>
      </c>
      <c r="G17" s="4" t="inlineStr"/>
      <c r="H17" s="4" t="inlineStr">
        <is>
          <t>2026-05-09</t>
        </is>
      </c>
      <c r="I17" s="4" t="inlineStr">
        <is>
          <t>COD</t>
        </is>
      </c>
      <c r="J17" s="4" t="inlineStr">
        <is>
          <t>未対応</t>
        </is>
      </c>
      <c r="K17" s="4" t="inlineStr"/>
      <c r="L17" s="4" t="inlineStr"/>
      <c r="M17" s="4" t="inlineStr"/>
      <c r="N17" s="4" t="inlineStr"/>
      <c r="O17" s="4"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6" t="inlineStr">
        <is>
          <t>中</t>
        </is>
      </c>
      <c r="F18" s="2" t="inlineStr">
        <is>
          <t>merge.py</t>
        </is>
      </c>
      <c r="G18" s="2" t="inlineStr"/>
      <c r="H18" s="2" t="inlineStr">
        <is>
          <t>2026-05-09</t>
        </is>
      </c>
      <c r="I18" s="2" t="inlineStr">
        <is>
          <t>SRS</t>
        </is>
      </c>
      <c r="J18" s="2" t="inlineStr">
        <is>
          <t>対応完了</t>
        </is>
      </c>
      <c r="K18" s="2" t="inlineStr"/>
      <c r="L18" s="2" t="inlineStr"/>
      <c r="M18" s="2" t="inlineStr"/>
      <c r="N18" s="2" t="inlineStr">
        <is>
          <t>2026-05-09</t>
        </is>
      </c>
      <c r="O18" s="2" t="inlineStr"/>
    </row>
    <row r="19" ht="40" customHeight="1">
      <c r="A19" s="5" t="inlineStr">
        <is>
          <t>ISSUE-018</t>
        </is>
      </c>
      <c r="B19" s="5" t="inlineStr">
        <is>
          <t>FR-009: match_status 判定順序・deleted 定義・dominant フォールバック整理</t>
        </is>
      </c>
      <c r="C19" s="5"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5" t="inlineStr">
        <is>
          <t>設計</t>
        </is>
      </c>
      <c r="E19" s="3" t="inlineStr">
        <is>
          <t>高</t>
        </is>
      </c>
      <c r="F19" s="5" t="inlineStr">
        <is>
          <t>解析エンジン</t>
        </is>
      </c>
      <c r="G19" s="5" t="inlineStr"/>
      <c r="H19" s="5" t="inlineStr">
        <is>
          <t>2026-05-14</t>
        </is>
      </c>
      <c r="I19" s="5" t="inlineStr">
        <is>
          <t>SRS</t>
        </is>
      </c>
      <c r="J19" s="5" t="inlineStr">
        <is>
          <t>解決済</t>
        </is>
      </c>
      <c r="K19" s="5" t="inlineStr"/>
      <c r="L19" s="5"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5" t="inlineStr"/>
      <c r="N19" s="5" t="inlineStr">
        <is>
          <t>2026-05-16</t>
        </is>
      </c>
      <c r="O19" s="5"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is>
          <t>未対応</t>
        </is>
      </c>
      <c r="K20" s="2" t="inlineStr"/>
      <c r="L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2" t="inlineStr"/>
      <c r="N20" s="2" t="inlineStr"/>
      <c r="O20" s="2" t="inlineStr"/>
    </row>
    <row r="21" ht="40" customHeight="1">
      <c r="A21" s="4" t="inlineStr">
        <is>
          <t>ISSUE-020</t>
        </is>
      </c>
      <c r="B21" s="4" t="inlineStr">
        <is>
          <t>FR-013 / FR-014: 手動調査待ちピークの GeoJSON フィーチャ扱い</t>
        </is>
      </c>
      <c r="C21" s="4"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4" t="inlineStr">
        <is>
          <t>設計</t>
        </is>
      </c>
      <c r="E21" s="3" t="inlineStr">
        <is>
          <t>高</t>
        </is>
      </c>
      <c r="F21" s="4" t="inlineStr">
        <is>
          <t>GeoJSON出力</t>
        </is>
      </c>
      <c r="G21" s="4" t="inlineStr"/>
      <c r="H21" s="4" t="inlineStr">
        <is>
          <t>2026-05-14</t>
        </is>
      </c>
      <c r="I21" s="4" t="inlineStr">
        <is>
          <t>SRS</t>
        </is>
      </c>
      <c r="J21" s="4" t="inlineStr">
        <is>
          <t>未対応</t>
        </is>
      </c>
      <c r="K21" s="4" t="inlineStr"/>
      <c r="L21" s="4" t="inlineStr">
        <is>
          <t>以下のいずれかを SRS で確定し、FR-013 / FR-014 を改訂:
案A: 手動調査待ちピークは FR-013 出力から除外（または専用カテゴリ）
案B: コル等高線がない場合のフォールバック表現（仮 Polygon / 空 Polygon / 省略可フラグ）を FR-013 に規定
案C: 第4の match_status カテゴリ 'unresolved' を追加
併せて area_truncated=true が残るケースの FR-014 挙動も明示。</t>
        </is>
      </c>
      <c r="M21" s="4" t="inlineStr"/>
      <c r="N21" s="4" t="inlineStr"/>
      <c r="O21" s="4" t="inlineStr"/>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6" t="inlineStr">
        <is>
          <t>中</t>
        </is>
      </c>
      <c r="F22" s="2" t="inlineStr">
        <is>
          <t>merge.py</t>
        </is>
      </c>
      <c r="G22" s="2" t="inlineStr"/>
      <c r="H22" s="2" t="inlineStr">
        <is>
          <t>2026-05-14</t>
        </is>
      </c>
      <c r="I22" s="2" t="inlineStr">
        <is>
          <t>SRS</t>
        </is>
      </c>
      <c r="J22" s="2" t="inlineStr">
        <is>
          <t>未対応</t>
        </is>
      </c>
      <c r="K22" s="2" t="inlineStr"/>
      <c r="L22" s="2" t="inlineStr">
        <is>
          <t>FR-014 出力節に以下のいずれかを明示:
案A: 'per-mesh ファイルは更新せず、merged.csv / merged_activation.geojson のみ更新'
案B: '中間ファイルも更新する'（再現性向上のため）</t>
        </is>
      </c>
      <c r="M22" s="2" t="inlineStr"/>
      <c r="N22" s="2" t="inlineStr"/>
      <c r="O22" s="2" t="inlineStr"/>
    </row>
    <row r="23" ht="40" customHeight="1">
      <c r="A23" s="4" t="inlineStr">
        <is>
          <t>ISSUE-022</t>
        </is>
      </c>
      <c r="B23" s="4" t="inlineStr">
        <is>
          <t>FR-017: 北方領土タイル判定基準（タイル中心点）の明示</t>
        </is>
      </c>
      <c r="C23" s="4"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4" t="inlineStr">
        <is>
          <t>改善</t>
        </is>
      </c>
      <c r="E23" s="6" t="inlineStr">
        <is>
          <t>中</t>
        </is>
      </c>
      <c r="F23" s="4" t="inlineStr">
        <is>
          <t>その他</t>
        </is>
      </c>
      <c r="G23" s="4" t="inlineStr"/>
      <c r="H23" s="4" t="inlineStr">
        <is>
          <t>2026-05-14</t>
        </is>
      </c>
      <c r="I23" s="4" t="inlineStr">
        <is>
          <t>SRS</t>
        </is>
      </c>
      <c r="J23" s="4" t="inlineStr">
        <is>
          <t>未対応</t>
        </is>
      </c>
      <c r="K23" s="4" t="inlineStr"/>
      <c r="L23" s="4" t="inlineStr">
        <is>
          <t>FR-017 に 'タイル中心点が北方領土6村ポリゴンに含まれるタイルを列挙' と明示し、ADR-005 と同じ規定を SRS に転記する。</t>
        </is>
      </c>
      <c r="M23" s="4" t="inlineStr"/>
      <c r="N23" s="4" t="inlineStr"/>
      <c r="O23" s="4" t="inlineStr"/>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6" t="inlineStr">
        <is>
          <t>中</t>
        </is>
      </c>
      <c r="F24" s="2" t="inlineStr">
        <is>
          <t>その他</t>
        </is>
      </c>
      <c r="G24" s="2" t="inlineStr"/>
      <c r="H24" s="2" t="inlineStr">
        <is>
          <t>2026-05-14</t>
        </is>
      </c>
      <c r="I24" s="2" t="inlineStr">
        <is>
          <t>SRS</t>
        </is>
      </c>
      <c r="J24" s="2" t="inlineStr">
        <is>
          <t>未対応</t>
        </is>
      </c>
      <c r="K24" s="2" t="inlineStr"/>
      <c r="L24" s="2" t="inlineStr">
        <is>
          <t>NFR-003 に 'metadata.generated_at 等の実行時タイムスタンプを除き、ピーク座標・標高・突合結果・採番が同一であること' と除外規定を明記。</t>
        </is>
      </c>
      <c r="M24" s="2" t="inlineStr"/>
      <c r="N24" s="2" t="inlineStr"/>
      <c r="O24" s="2" t="inlineStr"/>
    </row>
    <row r="25" ht="40" customHeight="1">
      <c r="A25" s="4" t="inlineStr">
        <is>
          <t>ISSUE-024</t>
        </is>
      </c>
      <c r="B25" s="4" t="inlineStr">
        <is>
          <t>FR-015: 標高地形図の縮小方法を規定</t>
        </is>
      </c>
      <c r="C25" s="4"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4" t="inlineStr">
        <is>
          <t>改善</t>
        </is>
      </c>
      <c r="E25" s="6" t="inlineStr">
        <is>
          <t>中</t>
        </is>
      </c>
      <c r="F25" s="4" t="inlineStr">
        <is>
          <t>解析エンジン</t>
        </is>
      </c>
      <c r="G25" s="4" t="inlineStr"/>
      <c r="H25" s="4" t="inlineStr">
        <is>
          <t>2026-05-14</t>
        </is>
      </c>
      <c r="I25" s="4" t="inlineStr">
        <is>
          <t>SRS</t>
        </is>
      </c>
      <c r="J25" s="4" t="inlineStr">
        <is>
          <t>未対応</t>
        </is>
      </c>
      <c r="K25" s="4" t="inlineStr"/>
      <c r="L25" s="4" t="inlineStr">
        <is>
          <t>FR-015 に縮小方式を明示する（推奨: max pooling でダウンサンプル、NODATA は除外）。もしくは HLD で規定する旨を SRS に明記。</t>
        </is>
      </c>
      <c r="M25" s="4" t="inlineStr"/>
      <c r="N25" s="4" t="inlineStr"/>
      <c r="O25" s="4"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6" t="inlineStr">
        <is>
          <t>中</t>
        </is>
      </c>
      <c r="F26" s="2" t="inlineStr">
        <is>
          <t>merge.py</t>
        </is>
      </c>
      <c r="G26" s="2" t="inlineStr"/>
      <c r="H26" s="2" t="inlineStr">
        <is>
          <t>2026-05-14</t>
        </is>
      </c>
      <c r="I26" s="2" t="inlineStr">
        <is>
          <t>SRS</t>
        </is>
      </c>
      <c r="J26" s="2" t="inlineStr">
        <is>
          <t>未対応</t>
        </is>
      </c>
      <c r="K26" s="2" t="inlineStr"/>
      <c r="L26" s="2" t="inlineStr">
        <is>
          <t>FR-009 の用語定義または GLOSSARY で標高バンド境界表を提示する（SOTA 日本支部の正式表を出典として引用）。緯度区分がある場合は区分も含めて表で記述。</t>
        </is>
      </c>
      <c r="M26" s="2" t="inlineStr"/>
      <c r="N26" s="2" t="inlineStr"/>
      <c r="O26" s="2" t="inlineStr"/>
    </row>
    <row r="27" ht="40" customHeight="1">
      <c r="A27" s="5" t="inlineStr">
        <is>
          <t>ISSUE-026</t>
        </is>
      </c>
      <c r="B27" s="5" t="inlineStr">
        <is>
          <t>SRS 用語統一（Keyコル / dominant peak / ピーク・サミット候補）</t>
        </is>
      </c>
      <c r="C27" s="5"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5" t="inlineStr">
        <is>
          <t>改善</t>
        </is>
      </c>
      <c r="E27" s="7" t="inlineStr">
        <is>
          <t>低</t>
        </is>
      </c>
      <c r="F27" s="5" t="inlineStr">
        <is>
          <t>その他</t>
        </is>
      </c>
      <c r="G27" s="5" t="inlineStr"/>
      <c r="H27" s="5" t="inlineStr">
        <is>
          <t>2026-05-14</t>
        </is>
      </c>
      <c r="I27" s="5" t="inlineStr">
        <is>
          <t>SRS</t>
        </is>
      </c>
      <c r="J27" s="5" t="inlineStr">
        <is>
          <t>解決済</t>
        </is>
      </c>
      <c r="K27" s="5" t="inlineStr"/>
      <c r="L27" s="5"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5" t="inlineStr"/>
      <c r="N27" s="5" t="inlineStr">
        <is>
          <t>2026-05-17</t>
        </is>
      </c>
      <c r="O27" s="5"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7" t="inlineStr">
        <is>
          <t>低</t>
        </is>
      </c>
      <c r="F28" s="2" t="inlineStr">
        <is>
          <t>その他</t>
        </is>
      </c>
      <c r="G28" s="2" t="inlineStr"/>
      <c r="H28" s="2" t="inlineStr">
        <is>
          <t>2026-05-14</t>
        </is>
      </c>
      <c r="I28" s="2" t="inlineStr">
        <is>
          <t>SRS</t>
        </is>
      </c>
      <c r="J28" s="2" t="inlineStr">
        <is>
          <t>未対応</t>
        </is>
      </c>
      <c r="K28" s="2" t="inlineStr"/>
      <c r="L28" s="2" t="inlineStr">
        <is>
          <t>GLOSSARY に以下を追加:
(1) '削除候補（deleted サミット）' を独立項目として追加（ISSUE-018 の sota_summit.match_status=deleted 定義と整合）
(2) ISSUE-026 と協調して 'dominant peak' 見出しを英語表記に統一</t>
        </is>
      </c>
      <c r="M28" s="2" t="inlineStr"/>
      <c r="N28" s="2" t="inlineStr"/>
      <c r="O28" s="2" t="inlineStr"/>
    </row>
    <row r="29" ht="40" customHeight="1">
      <c r="A29" s="4" t="inlineStr">
        <is>
          <t>ISSUE-028</t>
        </is>
      </c>
      <c r="B29" s="4" t="inlineStr">
        <is>
          <t>フォールバック規定の集約（FR-003 / FR-017 / 6.9 の重複解消）</t>
        </is>
      </c>
      <c r="C29" s="4" t="inlineStr">
        <is>
          <t>URD/SRS レビュー指摘 L-5。excluded_tiles.txt / regions.geojson / municipalities.geojson の未存在時フォールバック動作が FR-003 / FR-017 / 6.9 の3箇所で重複記載されている。変更時の同期コストが高い。</t>
        </is>
      </c>
      <c r="D29" s="4" t="inlineStr">
        <is>
          <t>改善</t>
        </is>
      </c>
      <c r="E29" s="7" t="inlineStr">
        <is>
          <t>低</t>
        </is>
      </c>
      <c r="F29" s="4" t="inlineStr">
        <is>
          <t>その他</t>
        </is>
      </c>
      <c r="G29" s="4" t="inlineStr"/>
      <c r="H29" s="4" t="inlineStr">
        <is>
          <t>2026-05-14</t>
        </is>
      </c>
      <c r="I29" s="4" t="inlineStr">
        <is>
          <t>SRS</t>
        </is>
      </c>
      <c r="J29" s="4" t="inlineStr">
        <is>
          <t>未対応</t>
        </is>
      </c>
      <c r="K29" s="4" t="inlineStr"/>
      <c r="L29" s="4" t="inlineStr">
        <is>
          <t>フォールバック規定を 1 箇所（推奨: FR-017 のみ）に集約し、他箇所からは '詳細は FR-017 参照' とリンクする。</t>
        </is>
      </c>
      <c r="M29" s="4" t="inlineStr"/>
      <c r="N29" s="4" t="inlineStr"/>
      <c r="O29" s="4" t="inlineStr"/>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6" t="inlineStr">
        <is>
          <t>中</t>
        </is>
      </c>
      <c r="F30" s="2" t="inlineStr">
        <is>
          <t>その他</t>
        </is>
      </c>
      <c r="G30" s="2" t="inlineStr"/>
      <c r="H30" s="2" t="inlineStr">
        <is>
          <t>2026-05-14</t>
        </is>
      </c>
      <c r="I30" s="2" t="inlineStr">
        <is>
          <t>URD</t>
        </is>
      </c>
      <c r="J30" s="2" t="inlineStr">
        <is>
          <t>未対応</t>
        </is>
      </c>
      <c r="K30" s="2" t="inlineStr"/>
      <c r="L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2" t="inlineStr"/>
      <c r="N30" s="2" t="inlineStr"/>
      <c r="O30" s="2" t="inlineStr"/>
    </row>
    <row r="31" ht="40" customHeight="1">
      <c r="A31" s="4" t="inlineStr">
        <is>
          <t>ISSUE-030</t>
        </is>
      </c>
      <c r="B31" s="4" t="inlineStr">
        <is>
          <t>UR-006: 作業用 / 公開用 HTML の 2 層構造を URD に反映</t>
        </is>
      </c>
      <c r="C31" s="4"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4" t="inlineStr">
        <is>
          <t>改善</t>
        </is>
      </c>
      <c r="E31" s="7" t="inlineStr">
        <is>
          <t>低</t>
        </is>
      </c>
      <c r="F31" s="4" t="inlineStr">
        <is>
          <t>その他</t>
        </is>
      </c>
      <c r="G31" s="4" t="inlineStr"/>
      <c r="H31" s="4" t="inlineStr">
        <is>
          <t>2026-05-14</t>
        </is>
      </c>
      <c r="I31" s="4" t="inlineStr">
        <is>
          <t>URD</t>
        </is>
      </c>
      <c r="J31" s="4" t="inlineStr">
        <is>
          <t>未対応</t>
        </is>
      </c>
      <c r="K31" s="4" t="inlineStr"/>
      <c r="L31" s="4" t="inlineStr">
        <is>
          <t>URD UR-006 の要件文または前提・制約に '作業用ビューア（山岳名入力・XLSX エクスポート）と公開用 HTML（閲覧専用）の 2 層構造' を反映する。</t>
        </is>
      </c>
      <c r="M31" s="4" t="inlineStr"/>
      <c r="N31" s="4" t="inlineStr"/>
      <c r="O31" s="4" t="inlineStr"/>
    </row>
    <row r="32" ht="40" customHeight="1">
      <c r="A32" s="2" t="inlineStr">
        <is>
          <t>ISSUE-031</t>
        </is>
      </c>
      <c r="B32" s="2" t="inlineStr">
        <is>
          <t>SRS: 各 UR に対する FR/NFR の対応漏れ調査と『対応 UR』記述の補完</t>
        </is>
      </c>
      <c r="C32" s="2"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2" t="inlineStr">
        <is>
          <t>調査</t>
        </is>
      </c>
      <c r="E32" s="3" t="inlineStr">
        <is>
          <t>高</t>
        </is>
      </c>
      <c r="F32" s="2" t="inlineStr">
        <is>
          <t>その他</t>
        </is>
      </c>
      <c r="G32" s="2" t="inlineStr"/>
      <c r="H32" s="2" t="inlineStr">
        <is>
          <t>2026-05-14</t>
        </is>
      </c>
      <c r="I32" s="2" t="inlineStr">
        <is>
          <t>SRS</t>
        </is>
      </c>
      <c r="J32" s="2" t="inlineStr">
        <is>
          <t>未対応</t>
        </is>
      </c>
      <c r="K32" s="2" t="inlineStr"/>
      <c r="L32" s="2" t="inlineStr">
        <is>
          <t>(1) UR-001 〜 UR-010 を縦軸、現状の対応 FR/NFR を横軸に整理した一覧表を作成し漏れを抽出
(2) 漏れている対応関係を該当 FR / NFR の '対応 UR' フィールドに追記
(3) ISSUE-031（RTM）作成の前提データとして提供</t>
        </is>
      </c>
      <c r="M32" s="2" t="inlineStr"/>
      <c r="N32" s="2" t="inlineStr"/>
      <c r="O32" s="2" t="inlineStr"/>
    </row>
    <row r="33" ht="40" customHeight="1">
      <c r="A33" s="4" t="inlineStr">
        <is>
          <t>ISSUE-032</t>
        </is>
      </c>
      <c r="B33" s="4" t="inlineStr">
        <is>
          <t>SRS: 要求トレーサビリティ・マトリックス（RTM）の追加</t>
        </is>
      </c>
      <c r="C33" s="4"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4" t="inlineStr">
        <is>
          <t>機能追加</t>
        </is>
      </c>
      <c r="E33" s="3" t="inlineStr">
        <is>
          <t>高</t>
        </is>
      </c>
      <c r="F33" s="4" t="inlineStr">
        <is>
          <t>その他</t>
        </is>
      </c>
      <c r="G33" s="4" t="inlineStr"/>
      <c r="H33" s="4" t="inlineStr">
        <is>
          <t>2026-05-14</t>
        </is>
      </c>
      <c r="I33" s="4" t="inlineStr">
        <is>
          <t>SRS</t>
        </is>
      </c>
      <c r="J33" s="4" t="inlineStr">
        <is>
          <t>未対応</t>
        </is>
      </c>
      <c r="K33" s="4" t="inlineStr"/>
      <c r="L33" s="4"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4" t="inlineStr"/>
      <c r="N33" s="4" t="inlineStr"/>
      <c r="O33" s="4"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未対応</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c r="N34" s="2" t="inlineStr"/>
      <c r="O34" s="2" t="inlineStr"/>
    </row>
    <row r="35" ht="40" customHeight="1">
      <c r="A35" s="4" t="inlineStr">
        <is>
          <t>ISSUE-034</t>
        </is>
      </c>
      <c r="B35" s="4" t="inlineStr">
        <is>
          <t>tracker: ISSUE-018 の resolution 文を実装実態（案 B 採用）に合わせて更新</t>
        </is>
      </c>
      <c r="C35" s="4"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4" t="inlineStr">
        <is>
          <t>改善</t>
        </is>
      </c>
      <c r="E35" s="7" t="inlineStr">
        <is>
          <t>低</t>
        </is>
      </c>
      <c r="F35" s="4" t="inlineStr">
        <is>
          <t>その他</t>
        </is>
      </c>
      <c r="G35" s="4" t="inlineStr"/>
      <c r="H35" s="4" t="inlineStr">
        <is>
          <t>2026-05-17</t>
        </is>
      </c>
      <c r="I35" s="4" t="inlineStr"/>
      <c r="J35" s="4" t="inlineStr">
        <is>
          <t>未対応</t>
        </is>
      </c>
      <c r="K35" s="4" t="inlineStr"/>
      <c r="L35" s="4" t="inlineStr">
        <is>
          <t>tracker のレコード編集機能で ISSUE-018 の resolution フィールドを書き換え、「案 B（peak.match_status は変更せず、summit.dominant_peak_code で紐付けのみ）を採用」と明記する。</t>
        </is>
      </c>
      <c r="M35" s="4" t="inlineStr"/>
      <c r="N35" s="4" t="inlineStr"/>
      <c r="O35" s="4" t="inlineStr"/>
    </row>
  </sheetData>
  <dataValidations count="4">
    <dataValidation sqref="J2:J35" showDropDown="0" showInputMessage="0" showErrorMessage="0" allowBlank="1" type="list">
      <formula1>"未対応,対応中,対応完了,解決済,却下"</formula1>
    </dataValidation>
    <dataValidation sqref="E2:E35" showDropDown="0" showInputMessage="0" showErrorMessage="0" allowBlank="1" type="list">
      <formula1>"高,中,低"</formula1>
    </dataValidation>
    <dataValidation sqref="D2:D35" showDropDown="0" showInputMessage="0" showErrorMessage="0" allowBlank="1" type="list">
      <formula1>"機能追加,改善,調査,設計"</formula1>
    </dataValidation>
    <dataValidation sqref="I2:I35"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34</v>
      </c>
    </row>
    <row r="3">
      <c r="A3" s="10" t="inlineStr">
        <is>
          <t>未解決件数</t>
        </is>
      </c>
      <c r="B3" s="11" t="n">
        <v>31</v>
      </c>
    </row>
    <row r="4">
      <c r="A4" s="10" t="inlineStr">
        <is>
          <t>解決済件数</t>
        </is>
      </c>
      <c r="B4" s="11" t="n">
        <v>3</v>
      </c>
    </row>
    <row r="5">
      <c r="A5" s="10" t="inlineStr">
        <is>
          <t>解決率</t>
        </is>
      </c>
      <c r="B5" s="11" t="inlineStr">
        <is>
          <t>8.8%</t>
        </is>
      </c>
    </row>
    <row r="7">
      <c r="A7" s="8" t="inlineStr">
        <is>
          <t>ステータス別</t>
        </is>
      </c>
      <c r="B7" s="9" t="n"/>
    </row>
    <row r="8">
      <c r="A8" s="10" t="inlineStr">
        <is>
          <t>未対応</t>
        </is>
      </c>
      <c r="B8" s="11" t="n">
        <v>26</v>
      </c>
    </row>
    <row r="9">
      <c r="A9" s="10" t="inlineStr">
        <is>
          <t>対応中</t>
        </is>
      </c>
      <c r="B9" s="11" t="n">
        <v>0</v>
      </c>
    </row>
    <row r="10">
      <c r="A10" s="10" t="inlineStr">
        <is>
          <t>対応完了</t>
        </is>
      </c>
      <c r="B10" s="11" t="n">
        <v>5</v>
      </c>
    </row>
    <row r="11">
      <c r="A11" s="10" t="inlineStr">
        <is>
          <t>解決済</t>
        </is>
      </c>
      <c r="B11" s="11" t="n">
        <v>3</v>
      </c>
    </row>
    <row r="12">
      <c r="A12" s="10" t="inlineStr">
        <is>
          <t>却下</t>
        </is>
      </c>
      <c r="B12" s="11" t="n">
        <v>0</v>
      </c>
    </row>
    <row r="14">
      <c r="A14" s="8" t="inlineStr">
        <is>
          <t>優先度別（未解決）</t>
        </is>
      </c>
      <c r="B14" s="9" t="n"/>
    </row>
    <row r="15">
      <c r="A15" s="10" t="inlineStr">
        <is>
          <t>高</t>
        </is>
      </c>
      <c r="B15" s="11" t="n">
        <v>9</v>
      </c>
    </row>
    <row r="16">
      <c r="A16" s="10" t="inlineStr">
        <is>
          <t>中</t>
        </is>
      </c>
      <c r="B16" s="11" t="n">
        <v>16</v>
      </c>
    </row>
    <row r="17">
      <c r="A17" s="10" t="inlineStr">
        <is>
          <t>低</t>
        </is>
      </c>
      <c r="B17" s="11" t="n">
        <v>6</v>
      </c>
    </row>
    <row r="19">
      <c r="A19" s="8" t="inlineStr">
        <is>
          <t>種別別（未解決）</t>
        </is>
      </c>
      <c r="B19" s="9" t="n"/>
    </row>
    <row r="20">
      <c r="A20" s="10" t="inlineStr">
        <is>
          <t>機能追加</t>
        </is>
      </c>
      <c r="B20" s="11" t="n">
        <v>6</v>
      </c>
    </row>
    <row r="21">
      <c r="A21" s="10" t="inlineStr">
        <is>
          <t>改善</t>
        </is>
      </c>
      <c r="B21" s="11" t="n">
        <v>13</v>
      </c>
    </row>
    <row r="22">
      <c r="A22" s="10" t="inlineStr">
        <is>
          <t>調査</t>
        </is>
      </c>
      <c r="B22" s="11" t="n">
        <v>3</v>
      </c>
    </row>
    <row r="23">
      <c r="A23" s="10" t="inlineStr">
        <is>
          <t>設計</t>
        </is>
      </c>
      <c r="B23" s="11" t="n">
        <v>7</v>
      </c>
    </row>
    <row r="25">
      <c r="A25" s="8" t="inlineStr">
        <is>
          <t>カテゴリ別（未解決）</t>
        </is>
      </c>
      <c r="B25" s="9" t="n"/>
    </row>
    <row r="26">
      <c r="A26" s="10" t="inlineStr">
        <is>
          <t>解析エンジン</t>
        </is>
      </c>
      <c r="B26" s="11" t="n">
        <v>3</v>
      </c>
    </row>
    <row r="27">
      <c r="A27" s="10" t="inlineStr">
        <is>
          <t>merge.py</t>
        </is>
      </c>
      <c r="B27" s="11" t="n">
        <v>9</v>
      </c>
    </row>
    <row r="28">
      <c r="A28" s="10" t="inlineStr">
        <is>
          <t>GeoJSON出力</t>
        </is>
      </c>
      <c r="B28" s="11" t="n">
        <v>1</v>
      </c>
    </row>
    <row r="29">
      <c r="A29" s="10" t="inlineStr">
        <is>
          <t>設定</t>
        </is>
      </c>
      <c r="B29" s="11" t="n">
        <v>2</v>
      </c>
    </row>
    <row r="30">
      <c r="A30" s="10" t="inlineStr">
        <is>
          <t>その他</t>
        </is>
      </c>
      <c r="B30" s="11" t="n">
        <v>12</v>
      </c>
    </row>
    <row r="32">
      <c r="A32" s="8" t="inlineStr">
        <is>
          <t>ステージ別（未解決）</t>
        </is>
      </c>
      <c r="B32" s="9" t="n"/>
    </row>
    <row r="33">
      <c r="A33" s="10" t="inlineStr">
        <is>
          <t>URD</t>
        </is>
      </c>
      <c r="B33" s="11" t="n">
        <v>2</v>
      </c>
    </row>
    <row r="34">
      <c r="A34" s="10" t="inlineStr">
        <is>
          <t>SRS</t>
        </is>
      </c>
      <c r="B34" s="11" t="n">
        <v>16</v>
      </c>
    </row>
    <row r="35">
      <c r="A35" s="10" t="inlineStr">
        <is>
          <t>HLD</t>
        </is>
      </c>
      <c r="B35" s="11" t="n">
        <v>2</v>
      </c>
    </row>
    <row r="36">
      <c r="A36" s="10" t="inlineStr">
        <is>
          <t>COD</t>
        </is>
      </c>
      <c r="B36" s="11" t="n">
        <v>4</v>
      </c>
    </row>
    <row r="37">
      <c r="A37" s="10" t="inlineStr">
        <is>
          <t>IT</t>
        </is>
      </c>
      <c r="B37" s="11" t="n">
        <v>2</v>
      </c>
    </row>
    <row r="38">
      <c r="A38" s="10" t="inlineStr">
        <is>
          <t>ST</t>
        </is>
      </c>
      <c r="B38" s="11" t="n">
        <v>1</v>
      </c>
    </row>
    <row r="39">
      <c r="A39" s="10" t="inlineStr">
        <is>
          <t>OPS</t>
        </is>
      </c>
      <c r="B39" s="11" t="n">
        <v>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s="12" t="n">
        <v>46139</v>
      </c>
      <c r="B2" t="n">
        <v>9</v>
      </c>
      <c r="C2" t="n">
        <v>1</v>
      </c>
      <c r="D2" t="n">
        <v>1</v>
      </c>
    </row>
    <row r="3">
      <c r="A3" s="12" t="n">
        <v>46140</v>
      </c>
      <c r="B3" t="n">
        <v>11</v>
      </c>
      <c r="C3" t="n">
        <v>2</v>
      </c>
      <c r="D3" t="n">
        <v>1</v>
      </c>
    </row>
    <row r="4">
      <c r="A4" s="12" t="n">
        <v>46141</v>
      </c>
      <c r="B4" t="n">
        <v>11</v>
      </c>
      <c r="C4" t="n">
        <v>2</v>
      </c>
      <c r="D4" t="n">
        <v>1</v>
      </c>
    </row>
    <row r="5">
      <c r="A5" s="12" t="n">
        <v>46142</v>
      </c>
      <c r="B5" t="n">
        <v>11</v>
      </c>
      <c r="C5" t="n">
        <v>2</v>
      </c>
      <c r="D5" t="n">
        <v>1</v>
      </c>
    </row>
    <row r="6">
      <c r="A6" s="12" t="n">
        <v>46143</v>
      </c>
      <c r="B6" t="n">
        <v>11</v>
      </c>
      <c r="C6" t="n">
        <v>2</v>
      </c>
      <c r="D6" t="n">
        <v>1</v>
      </c>
    </row>
    <row r="7">
      <c r="A7" s="12" t="n">
        <v>46144</v>
      </c>
      <c r="B7" t="n">
        <v>11</v>
      </c>
      <c r="C7" t="n">
        <v>2</v>
      </c>
      <c r="D7" t="n">
        <v>1</v>
      </c>
    </row>
    <row r="8">
      <c r="A8" s="12" t="n">
        <v>46145</v>
      </c>
      <c r="B8" t="n">
        <v>11</v>
      </c>
      <c r="C8" t="n">
        <v>2</v>
      </c>
      <c r="D8" t="n">
        <v>1</v>
      </c>
    </row>
    <row r="9">
      <c r="A9" s="12" t="n">
        <v>46146</v>
      </c>
      <c r="B9" t="n">
        <v>11</v>
      </c>
      <c r="C9" t="n">
        <v>2</v>
      </c>
      <c r="D9" t="n">
        <v>1</v>
      </c>
    </row>
    <row r="10">
      <c r="A10" s="12" t="n">
        <v>46147</v>
      </c>
      <c r="B10" t="n">
        <v>11</v>
      </c>
      <c r="C10" t="n">
        <v>2</v>
      </c>
      <c r="D10" t="n">
        <v>1</v>
      </c>
    </row>
    <row r="11">
      <c r="A11" s="12" t="n">
        <v>46148</v>
      </c>
      <c r="B11" t="n">
        <v>11</v>
      </c>
      <c r="C11" t="n">
        <v>2</v>
      </c>
      <c r="D11" t="n">
        <v>1</v>
      </c>
    </row>
    <row r="12">
      <c r="A12" s="12" t="n">
        <v>46149</v>
      </c>
      <c r="B12" t="n">
        <v>11</v>
      </c>
      <c r="C12" t="n">
        <v>2</v>
      </c>
      <c r="D12" t="n">
        <v>1</v>
      </c>
    </row>
    <row r="13">
      <c r="A13" s="12" t="n">
        <v>46150</v>
      </c>
      <c r="B13" t="n">
        <v>13</v>
      </c>
      <c r="C13" t="n">
        <v>3</v>
      </c>
      <c r="D13" t="n">
        <v>1</v>
      </c>
    </row>
    <row r="14">
      <c r="A14" s="12" t="n">
        <v>46151</v>
      </c>
      <c r="B14" t="n">
        <v>17</v>
      </c>
      <c r="C14" t="n">
        <v>4</v>
      </c>
      <c r="D14" t="n">
        <v>1</v>
      </c>
    </row>
    <row r="15">
      <c r="A15" s="12" t="n">
        <v>46152</v>
      </c>
      <c r="B15" t="n">
        <v>17</v>
      </c>
      <c r="C15" t="n">
        <v>6</v>
      </c>
      <c r="D15" t="n">
        <v>1</v>
      </c>
    </row>
    <row r="16">
      <c r="A16" s="12" t="n">
        <v>46153</v>
      </c>
      <c r="B16" t="n">
        <v>17</v>
      </c>
      <c r="C16" t="n">
        <v>6</v>
      </c>
      <c r="D16" t="n">
        <v>1</v>
      </c>
    </row>
    <row r="17">
      <c r="A17" s="12" t="n">
        <v>46154</v>
      </c>
      <c r="B17" t="n">
        <v>17</v>
      </c>
      <c r="C17" t="n">
        <v>6</v>
      </c>
      <c r="D17" t="n">
        <v>1</v>
      </c>
    </row>
    <row r="18">
      <c r="A18" s="12" t="n">
        <v>46155</v>
      </c>
      <c r="B18" t="n">
        <v>17</v>
      </c>
      <c r="C18" t="n">
        <v>6</v>
      </c>
      <c r="D18" t="n">
        <v>1</v>
      </c>
    </row>
    <row r="19">
      <c r="A19" s="12" t="n">
        <v>46156</v>
      </c>
      <c r="B19" t="n">
        <v>32</v>
      </c>
      <c r="C19" t="n">
        <v>6</v>
      </c>
      <c r="D19" t="n">
        <v>1</v>
      </c>
    </row>
    <row r="20">
      <c r="A20" s="12" t="n">
        <v>46157</v>
      </c>
      <c r="B20" t="n">
        <v>32</v>
      </c>
      <c r="C20" t="n">
        <v>6</v>
      </c>
      <c r="D20" t="n">
        <v>1</v>
      </c>
    </row>
    <row r="21">
      <c r="A21" s="12" t="n">
        <v>46158</v>
      </c>
      <c r="B21" t="n">
        <v>32</v>
      </c>
      <c r="C21" t="n">
        <v>7</v>
      </c>
      <c r="D21" t="n">
        <v>1</v>
      </c>
    </row>
    <row r="22">
      <c r="A22" s="12" t="n">
        <v>46159</v>
      </c>
      <c r="B22" t="n">
        <v>34</v>
      </c>
      <c r="C22" t="n">
        <v>8</v>
      </c>
      <c r="D22" t="n">
        <v>3</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2026-05-17T04:25:39Z</dcterms:created>
  <dcterms:modified xsi:type="dcterms:W3CDTF">2026-05-17T04:25:39Z</dcterms:modified>
</cp:coreProperties>
</file>