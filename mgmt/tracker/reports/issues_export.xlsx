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'収束グラフ'!$A$2:$A$55</f>
            </strRef>
          </cat>
          <val>
            <numRef>
              <f>'収束グラフ'!$B$2:$B$55</f>
            </numRef>
          </val>
        </ser>
        <ser>
          <idx val="1"/>
          <order val="1"/>
          <tx>
            <strRef>
              <f>'収束グラフ'!C1</f>
            </strRef>
          </tx>
          <spPr>
            <a:ln w="20000">
              <a:solidFill>
                <a:srgbClr val="4472C4"/>
              </a:solidFill>
              <a:prstDash val="solid"/>
            </a:ln>
          </spPr>
          <marker>
            <symbol val="none"/>
            <spPr>
              <a:ln>
                <a:prstDash val="solid"/>
              </a:ln>
            </spPr>
          </marker>
          <cat>
            <strRef>
              <f>'収束グラフ'!$A$2:$A$55</f>
            </strRef>
          </cat>
          <val>
            <numRef>
              <f>'収束グラフ'!$C$2:$C$55</f>
            </numRef>
          </val>
        </ser>
        <ser>
          <idx val="2"/>
          <order val="2"/>
          <tx>
            <strRef>
              <f>'収束グラフ'!D1</f>
            </strRef>
          </tx>
          <spPr>
            <a:ln w="20000">
              <a:solidFill>
                <a:srgbClr val="70AD47"/>
              </a:solidFill>
              <a:prstDash val="solid"/>
            </a:ln>
          </spPr>
          <marker>
            <symbol val="none"/>
            <spPr>
              <a:ln>
                <a:prstDash val="solid"/>
              </a:ln>
            </spPr>
          </marker>
          <cat>
            <strRef>
              <f>'収束グラフ'!$A$2:$A$55</f>
            </strRef>
          </cat>
          <val>
            <numRef>
              <f>'収束グラフ'!$D$2:$D$55</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6" t="inlineStr">
        <is>
          <t>ISSUE-108</t>
        </is>
      </c>
      <c r="B108" s="6" t="inlineStr">
        <is>
          <t>FR-022 純化・FR-023 解析パイプライン制御新設（SRS反映完了）</t>
        </is>
      </c>
      <c r="C108" s="6"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6" t="inlineStr">
        <is>
          <t>設計</t>
        </is>
      </c>
      <c r="E108" s="3" t="inlineStr">
        <is>
          <t>高</t>
        </is>
      </c>
      <c r="F108" s="6" t="inlineStr">
        <is>
          <t>merge.py</t>
        </is>
      </c>
      <c r="G108" s="6" t="inlineStr"/>
      <c r="H108" s="6" t="inlineStr">
        <is>
          <t>2026-06-18</t>
        </is>
      </c>
      <c r="I108" s="6" t="inlineStr">
        <is>
          <t>SRS</t>
        </is>
      </c>
      <c r="J108" s="6" t="inlineStr"/>
      <c r="K108" s="6" t="inlineStr">
        <is>
          <t>対応完了</t>
        </is>
      </c>
      <c r="L108" s="6" t="inlineStr"/>
      <c r="M108" s="6" t="inlineStr">
        <is>
          <t>ADR-SRS-027・SRS §4.3 新設FR-023・FR-022大幅縮小・FR-014入力変更として反映完了（2026-06-18）。コード追従はtodo.md管理。</t>
        </is>
      </c>
      <c r="N108" s="6" t="inlineStr"/>
      <c r="O108" s="6" t="inlineStr">
        <is>
          <t>2026-06-18</t>
        </is>
      </c>
      <c r="P108" s="6" t="inlineStr"/>
    </row>
    <row r="109" ht="40" customHeight="1">
      <c r="A109" s="7" t="inlineStr">
        <is>
          <t>ISSUE-109</t>
        </is>
      </c>
      <c r="B109" s="7" t="inlineStr">
        <is>
          <t>陸地最高峰海面確定を FR-022→FR-008 に移管（案B、SRS反映完了）</t>
        </is>
      </c>
      <c r="C109" s="7"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7" t="inlineStr">
        <is>
          <t>設計</t>
        </is>
      </c>
      <c r="E109" s="3" t="inlineStr">
        <is>
          <t>高</t>
        </is>
      </c>
      <c r="F109" s="7" t="inlineStr">
        <is>
          <t>merge.py</t>
        </is>
      </c>
      <c r="G109" s="7" t="inlineStr"/>
      <c r="H109" s="7" t="inlineStr">
        <is>
          <t>2026-06-18</t>
        </is>
      </c>
      <c r="I109" s="7" t="inlineStr">
        <is>
          <t>SRS</t>
        </is>
      </c>
      <c r="J109" s="7" t="inlineStr"/>
      <c r="K109" s="7" t="inlineStr">
        <is>
          <t>対応完了</t>
        </is>
      </c>
      <c r="L109" s="7" t="inlineStr"/>
      <c r="M109" s="7" t="inlineStr">
        <is>
          <t>ADR-SRS-027・ADR-SRS-019改訂・SRS FR-008入力追加・7.1.4削除・7.2追加として反映完了（2026-06-18）。コード追従はtodo.md管理。</t>
        </is>
      </c>
      <c r="N109" s="7" t="inlineStr"/>
      <c r="O109" s="7" t="inlineStr">
        <is>
          <t>2026-06-18</t>
        </is>
      </c>
      <c r="P109" s="7" t="inlineStr"/>
    </row>
    <row r="110" ht="40" customHeight="1">
      <c r="A110" s="6" t="inlineStr">
        <is>
          <t>ISSUE-110</t>
        </is>
      </c>
      <c r="B110" s="6" t="inlineStr">
        <is>
          <t>フェーズ番号統一（フェーズ2-1/2-2→フェーズ2/3、SRS反映完了）</t>
        </is>
      </c>
      <c r="C110" s="6"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6" t="inlineStr">
        <is>
          <t>改善</t>
        </is>
      </c>
      <c r="E110" s="4" t="inlineStr">
        <is>
          <t>中</t>
        </is>
      </c>
      <c r="F110" s="6" t="inlineStr">
        <is>
          <t>その他</t>
        </is>
      </c>
      <c r="G110" s="6" t="inlineStr"/>
      <c r="H110" s="6" t="inlineStr">
        <is>
          <t>2026-06-18</t>
        </is>
      </c>
      <c r="I110" s="6" t="inlineStr">
        <is>
          <t>SRS</t>
        </is>
      </c>
      <c r="J110" s="6" t="inlineStr"/>
      <c r="K110" s="6" t="inlineStr">
        <is>
          <t>対応完了</t>
        </is>
      </c>
      <c r="L110" s="6" t="inlineStr"/>
      <c r="M110" s="6" t="inlineStr">
        <is>
          <t>SRS全体のフェーズ表記を統一。旧フェーズ2-1→フェーズ2、旧フェーズ2-2→フェーズ3、旧フェーズ3（統合）→統合時(FR-008)。反映完了（2026-06-18）。</t>
        </is>
      </c>
      <c r="N110" s="6" t="inlineStr"/>
      <c r="O110" s="6" t="inlineStr">
        <is>
          <t>2026-06-18</t>
        </is>
      </c>
      <c r="P110" s="6" t="inlineStr"/>
    </row>
    <row r="111" ht="40" customHeight="1">
      <c r="A111" s="7" t="inlineStr">
        <is>
          <t>ISSUE-111</t>
        </is>
      </c>
      <c r="B111" s="7" t="inlineStr">
        <is>
          <t>全国一括突合の確定・FR-010 削除・範囲外/DEM 無効フラグ廃止</t>
        </is>
      </c>
      <c r="C111" s="7"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7" t="inlineStr">
        <is>
          <t>設計</t>
        </is>
      </c>
      <c r="E111" s="4" t="inlineStr">
        <is>
          <t>中</t>
        </is>
      </c>
      <c r="F111" s="7" t="inlineStr"/>
      <c r="G111" s="7" t="inlineStr">
        <is>
          <t>Opus</t>
        </is>
      </c>
      <c r="H111" s="7" t="inlineStr">
        <is>
          <t>2026-06-18</t>
        </is>
      </c>
      <c r="I111" s="7" t="inlineStr">
        <is>
          <t>SRS</t>
        </is>
      </c>
      <c r="J111" s="7" t="inlineStr"/>
      <c r="K111" s="7" t="inlineStr">
        <is>
          <t>対応完了</t>
        </is>
      </c>
      <c r="L111" s="7" t="inlineStr">
        <is>
          <t>Opus</t>
        </is>
      </c>
      <c r="M111" s="7"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7" t="inlineStr"/>
      <c r="O111" s="7" t="inlineStr"/>
      <c r="P111" s="7" t="inlineStr"/>
    </row>
    <row r="112" ht="40" customHeight="1">
      <c r="A112" s="6" t="inlineStr">
        <is>
          <t>ISSUE-112</t>
        </is>
      </c>
      <c r="B112" s="6" t="inlineStr">
        <is>
          <t>FR-009 異常終了フローの一本化（全判定後にまとめて検査）</t>
        </is>
      </c>
      <c r="C112" s="6"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6" t="inlineStr">
        <is>
          <t>設計</t>
        </is>
      </c>
      <c r="E112" s="4" t="inlineStr">
        <is>
          <t>中</t>
        </is>
      </c>
      <c r="F112" s="6" t="inlineStr"/>
      <c r="G112" s="6" t="inlineStr">
        <is>
          <t>Opus</t>
        </is>
      </c>
      <c r="H112" s="6" t="inlineStr">
        <is>
          <t>2026-06-18</t>
        </is>
      </c>
      <c r="I112" s="6" t="inlineStr">
        <is>
          <t>SRS</t>
        </is>
      </c>
      <c r="J112" s="6" t="inlineStr"/>
      <c r="K112" s="6" t="inlineStr">
        <is>
          <t>対応完了</t>
        </is>
      </c>
      <c r="L112" s="6" t="inlineStr">
        <is>
          <t>Opus</t>
        </is>
      </c>
      <c r="M112" s="6" t="inlineStr">
        <is>
          <t>全サミット評価完了後に不備フラグを一括検査し、いずれか true なら必ず出力してから停止する方式に統一。SRS FR-009 の異常終了制御セクションを更新済み。</t>
        </is>
      </c>
      <c r="N112" s="6" t="inlineStr"/>
      <c r="O112" s="6" t="inlineStr"/>
      <c r="P112" s="6" t="inlineStr"/>
    </row>
    <row r="113" ht="40" customHeight="1">
      <c r="A113" s="7" t="inlineStr">
        <is>
          <t>ISSUE-113</t>
        </is>
      </c>
      <c r="B113" s="7" t="inlineStr">
        <is>
          <t>GeoJSON ファイル名を CSV と同 basename に統一（_activation 廃止）</t>
        </is>
      </c>
      <c r="C113" s="7"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7" t="inlineStr">
        <is>
          <t>設計</t>
        </is>
      </c>
      <c r="E113" s="4" t="inlineStr">
        <is>
          <t>中</t>
        </is>
      </c>
      <c r="F113" s="7" t="inlineStr"/>
      <c r="G113" s="7" t="inlineStr">
        <is>
          <t>Opus</t>
        </is>
      </c>
      <c r="H113" s="7" t="inlineStr">
        <is>
          <t>2026-06-18</t>
        </is>
      </c>
      <c r="I113" s="7" t="inlineStr">
        <is>
          <t>SRS</t>
        </is>
      </c>
      <c r="J113" s="7" t="inlineStr"/>
      <c r="K113" s="7" t="inlineStr">
        <is>
          <t>対応完了</t>
        </is>
      </c>
      <c r="L113" s="7" t="inlineStr">
        <is>
          <t>Opus</t>
        </is>
      </c>
      <c r="M113" s="7"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7" t="inlineStr"/>
      <c r="O113" s="7" t="inlineStr"/>
      <c r="P113" s="7" t="inlineStr"/>
    </row>
    <row r="114" ht="40" customHeight="1">
      <c r="A114" s="6" t="inlineStr">
        <is>
          <t>ISSUE-114</t>
        </is>
      </c>
      <c r="B114" s="6" t="inlineStr">
        <is>
          <t>FR-009中心成果物GeoJSONのリネーム・和名整理（merged.geojson → merged_summit.geojson）</t>
        </is>
      </c>
      <c r="C114" s="6"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6" t="inlineStr">
        <is>
          <t>改善</t>
        </is>
      </c>
      <c r="E114" s="4" t="inlineStr">
        <is>
          <t>中</t>
        </is>
      </c>
      <c r="F114" s="6" t="inlineStr">
        <is>
          <t>GeoJSON出力</t>
        </is>
      </c>
      <c r="G114" s="6" t="inlineStr">
        <is>
          <t>Sonnet</t>
        </is>
      </c>
      <c r="H114" s="6" t="inlineStr">
        <is>
          <t>2026-06-18</t>
        </is>
      </c>
      <c r="I114" s="6" t="inlineStr">
        <is>
          <t>SRS</t>
        </is>
      </c>
      <c r="J114" s="6" t="inlineStr">
        <is>
          <t>SRS</t>
        </is>
      </c>
      <c r="K114" s="6" t="inlineStr">
        <is>
          <t>対応完了</t>
        </is>
      </c>
      <c r="L114" s="6" t="inlineStr">
        <is>
          <t>Sonnet</t>
        </is>
      </c>
      <c r="M114" s="6" t="inlineStr">
        <is>
          <t>ファイル名をmerged_summit.geojsonに変更（merged_summit.xlsxとペア）。和名を「突合済み統合 GeoJSON」に統一。ADR-SRS-030作成・SRS本文反映・関連ADR整合更新で対応。</t>
        </is>
      </c>
      <c r="N114" s="6" t="inlineStr"/>
      <c r="O114" s="6" t="inlineStr"/>
      <c r="P114" s="6" t="inlineStr"/>
    </row>
    <row r="115" ht="40" customHeight="1">
      <c r="A115" s="7" t="inlineStr">
        <is>
          <t>ISSUE-115</t>
        </is>
      </c>
      <c r="B115" s="7" t="inlineStr">
        <is>
          <t>仮サミットコード連番上限の設定可能化・00始まり化（A99固定 → 設定項目化）</t>
        </is>
      </c>
      <c r="C115" s="7"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7" t="inlineStr">
        <is>
          <t>改善</t>
        </is>
      </c>
      <c r="E115" s="4" t="inlineStr">
        <is>
          <t>中</t>
        </is>
      </c>
      <c r="F115" s="7" t="inlineStr">
        <is>
          <t>設定</t>
        </is>
      </c>
      <c r="G115" s="7" t="inlineStr">
        <is>
          <t>Sonnet</t>
        </is>
      </c>
      <c r="H115" s="7" t="inlineStr">
        <is>
          <t>2026-06-18</t>
        </is>
      </c>
      <c r="I115" s="7" t="inlineStr">
        <is>
          <t>SRS</t>
        </is>
      </c>
      <c r="J115" s="7" t="inlineStr">
        <is>
          <t>SRS</t>
        </is>
      </c>
      <c r="K115" s="7" t="inlineStr">
        <is>
          <t>対応完了</t>
        </is>
      </c>
      <c r="L115" s="7" t="inlineStr">
        <is>
          <t>Sonnet</t>
        </is>
      </c>
      <c r="M115" s="7" t="inlineStr">
        <is>
          <t>2.2.1設定可能項目に「仮サミットコード連番上限」を追加（デフォルトA・許容A〜Z）。連番を01始まり→00始まりへ変更。フォーマット例をA01→A00へ全更新。ADR-SRS-031作成・SRS本文反映で対応。</t>
        </is>
      </c>
      <c r="N115" s="7" t="inlineStr"/>
      <c r="O115" s="7" t="inlineStr"/>
      <c r="P115" s="7" t="inlineStr"/>
    </row>
    <row r="116" ht="40" customHeight="1">
      <c r="A116" s="6" t="inlineStr">
        <is>
          <t>ISSUE-116</t>
        </is>
      </c>
      <c r="B116" s="6" t="inlineStr">
        <is>
          <t>FR-013レビュー: metadata責務分離・正準定義移動・license_url統一</t>
        </is>
      </c>
      <c r="C116" s="6"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6" t="inlineStr">
        <is>
          <t>改善</t>
        </is>
      </c>
      <c r="E116" s="3" t="inlineStr">
        <is>
          <t>高</t>
        </is>
      </c>
      <c r="F116" s="6" t="inlineStr">
        <is>
          <t>merge.py</t>
        </is>
      </c>
      <c r="G116" s="6" t="inlineStr">
        <is>
          <t>Sonnet</t>
        </is>
      </c>
      <c r="H116" s="6" t="inlineStr">
        <is>
          <t>2026-06-19</t>
        </is>
      </c>
      <c r="I116" s="6" t="inlineStr">
        <is>
          <t>SRS</t>
        </is>
      </c>
      <c r="J116" s="6" t="inlineStr"/>
      <c r="K116" s="6" t="inlineStr">
        <is>
          <t>対応完了</t>
        </is>
      </c>
      <c r="L116" s="6" t="inlineStr">
        <is>
          <t>Sonnet</t>
        </is>
      </c>
      <c r="M116" s="6"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6" t="inlineStr"/>
      <c r="O116" s="6" t="inlineStr">
        <is>
          <t>2026-06-19</t>
        </is>
      </c>
      <c r="P116" s="6" t="inlineStr"/>
    </row>
    <row r="117" ht="40" customHeight="1">
      <c r="A117" s="7" t="inlineStr">
        <is>
          <t>ISSUE-117</t>
        </is>
      </c>
      <c r="B117" s="7" t="inlineStr">
        <is>
          <t>FR-013レビュー: gsi_tile_latest_date を FR-001 起点で上流化</t>
        </is>
      </c>
      <c r="C117" s="7"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7" t="inlineStr">
        <is>
          <t>改善</t>
        </is>
      </c>
      <c r="E117" s="3" t="inlineStr">
        <is>
          <t>高</t>
        </is>
      </c>
      <c r="F117" s="7" t="inlineStr">
        <is>
          <t>prefetch</t>
        </is>
      </c>
      <c r="G117" s="7" t="inlineStr">
        <is>
          <t>Sonnet</t>
        </is>
      </c>
      <c r="H117" s="7" t="inlineStr">
        <is>
          <t>2026-06-19</t>
        </is>
      </c>
      <c r="I117" s="7" t="inlineStr">
        <is>
          <t>SRS</t>
        </is>
      </c>
      <c r="J117" s="7" t="inlineStr"/>
      <c r="K117" s="7" t="inlineStr">
        <is>
          <t>対応完了</t>
        </is>
      </c>
      <c r="L117" s="7" t="inlineStr">
        <is>
          <t>Sonnet</t>
        </is>
      </c>
      <c r="M117" s="7"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7" t="inlineStr"/>
      <c r="O117" s="7" t="inlineStr">
        <is>
          <t>2026-06-19</t>
        </is>
      </c>
      <c r="P117" s="7" t="inlineStr"/>
    </row>
    <row r="118" ht="40" customHeight="1">
      <c r="A118" s="6" t="inlineStr">
        <is>
          <t>ISSUE-118</t>
        </is>
      </c>
      <c r="B118" s="6" t="inlineStr">
        <is>
          <t>FR-013レビュー: 不備確認責務を geojson metadata から xlsx へ移行</t>
        </is>
      </c>
      <c r="C118" s="6"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6" t="inlineStr">
        <is>
          <t>改善</t>
        </is>
      </c>
      <c r="E118" s="3" t="inlineStr">
        <is>
          <t>高</t>
        </is>
      </c>
      <c r="F118" s="6" t="inlineStr">
        <is>
          <t>merge.py</t>
        </is>
      </c>
      <c r="G118" s="6" t="inlineStr">
        <is>
          <t>Sonnet</t>
        </is>
      </c>
      <c r="H118" s="6" t="inlineStr">
        <is>
          <t>2026-06-19</t>
        </is>
      </c>
      <c r="I118" s="6" t="inlineStr">
        <is>
          <t>SRS</t>
        </is>
      </c>
      <c r="J118" s="6" t="inlineStr"/>
      <c r="K118" s="6" t="inlineStr">
        <is>
          <t>対応完了</t>
        </is>
      </c>
      <c r="L118" s="6" t="inlineStr">
        <is>
          <t>Sonnet</t>
        </is>
      </c>
      <c r="M118" s="6"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6" t="inlineStr"/>
      <c r="O118" s="6" t="inlineStr">
        <is>
          <t>2026-06-19</t>
        </is>
      </c>
      <c r="P118" s="6" t="inlineStr"/>
    </row>
  </sheetData>
  <dataValidations count="5">
    <dataValidation sqref="K2:K118" showDropDown="0" showInputMessage="0" showErrorMessage="0" allowBlank="1" type="list">
      <formula1>"未対応,対応中,対応完了,解決済,却下"</formula1>
    </dataValidation>
    <dataValidation sqref="E2:E118" showDropDown="0" showInputMessage="0" showErrorMessage="0" allowBlank="1" type="list">
      <formula1>"高,中,低"</formula1>
    </dataValidation>
    <dataValidation sqref="D2:D118" showDropDown="0" showInputMessage="0" showErrorMessage="0" allowBlank="1" type="list">
      <formula1>"機能追加,改善,調査,設計"</formula1>
    </dataValidation>
    <dataValidation sqref="I2:I118" showDropDown="0" showInputMessage="0" showErrorMessage="0" allowBlank="1" type="list">
      <formula1>"URD,SRS,HLD,LLD,COD,UT,IT,ST,OPS"</formula1>
    </dataValidation>
    <dataValidation sqref="J2:J118"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117</v>
      </c>
    </row>
    <row r="3">
      <c r="A3" s="10" t="inlineStr">
        <is>
          <t>未解決件数</t>
        </is>
      </c>
      <c r="B3" s="11" t="n">
        <v>33</v>
      </c>
    </row>
    <row r="4">
      <c r="A4" s="10" t="inlineStr">
        <is>
          <t>解決済件数</t>
        </is>
      </c>
      <c r="B4" s="11" t="n">
        <v>67</v>
      </c>
    </row>
    <row r="5">
      <c r="A5" s="10" t="inlineStr">
        <is>
          <t>解決率</t>
        </is>
      </c>
      <c r="B5" s="11" t="inlineStr">
        <is>
          <t>57.3%</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11</v>
      </c>
    </row>
    <row r="11">
      <c r="A11" s="10" t="inlineStr">
        <is>
          <t>解決済</t>
        </is>
      </c>
      <c r="B11" s="11" t="n">
        <v>67</v>
      </c>
    </row>
    <row r="12">
      <c r="A12" s="10" t="inlineStr">
        <is>
          <t>却下</t>
        </is>
      </c>
      <c r="B12" s="11" t="n">
        <v>17</v>
      </c>
    </row>
    <row r="14">
      <c r="A14" s="8" t="inlineStr">
        <is>
          <t>優先度別（未解決）</t>
        </is>
      </c>
      <c r="B14" s="9" t="n"/>
    </row>
    <row r="15">
      <c r="A15" s="10" t="inlineStr">
        <is>
          <t>高</t>
        </is>
      </c>
      <c r="B15" s="11" t="n">
        <v>16</v>
      </c>
    </row>
    <row r="16">
      <c r="A16" s="10" t="inlineStr">
        <is>
          <t>中</t>
        </is>
      </c>
      <c r="B16" s="11" t="n">
        <v>14</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18</v>
      </c>
    </row>
    <row r="22">
      <c r="A22" s="10" t="inlineStr">
        <is>
          <t>調査</t>
        </is>
      </c>
      <c r="B22" s="11" t="n">
        <v>1</v>
      </c>
    </row>
    <row r="23">
      <c r="A23" s="10" t="inlineStr">
        <is>
          <t>設計</t>
        </is>
      </c>
      <c r="B23" s="11" t="n">
        <v>5</v>
      </c>
    </row>
    <row r="25">
      <c r="A25" s="8" t="inlineStr">
        <is>
          <t>カテゴリ別（未解決）</t>
        </is>
      </c>
      <c r="B25" s="9" t="n"/>
    </row>
    <row r="26">
      <c r="A26" s="10" t="inlineStr">
        <is>
          <t>解析エンジン</t>
        </is>
      </c>
      <c r="B26" s="11" t="n">
        <v>4</v>
      </c>
    </row>
    <row r="27">
      <c r="A27" s="10" t="inlineStr">
        <is>
          <t>merge.py</t>
        </is>
      </c>
      <c r="B27" s="11" t="n">
        <v>6</v>
      </c>
    </row>
    <row r="28">
      <c r="A28" s="10" t="inlineStr">
        <is>
          <t>GeoJSON出力</t>
        </is>
      </c>
      <c r="B28" s="11" t="n">
        <v>4</v>
      </c>
    </row>
    <row r="29">
      <c r="A29" s="10" t="inlineStr">
        <is>
          <t>prefetch</t>
        </is>
      </c>
      <c r="B29" s="11" t="n">
        <v>1</v>
      </c>
    </row>
    <row r="30">
      <c r="A30" s="10" t="inlineStr">
        <is>
          <t>設定</t>
        </is>
      </c>
      <c r="B30" s="11" t="n">
        <v>1</v>
      </c>
    </row>
    <row r="31">
      <c r="A31" s="10" t="inlineStr">
        <is>
          <t>その他</t>
        </is>
      </c>
      <c r="B31" s="11" t="n">
        <v>5</v>
      </c>
    </row>
    <row r="33">
      <c r="A33" s="8" t="inlineStr">
        <is>
          <t>ステージ別（未解決）</t>
        </is>
      </c>
      <c r="B33" s="9" t="n"/>
    </row>
    <row r="34">
      <c r="A34" s="10" t="inlineStr">
        <is>
          <t>SRS</t>
        </is>
      </c>
      <c r="B34" s="11" t="n">
        <v>31</v>
      </c>
    </row>
    <row r="35">
      <c r="A35" s="10" t="inlineStr">
        <is>
          <t>HLD</t>
        </is>
      </c>
      <c r="B35" s="11" t="n">
        <v>1</v>
      </c>
    </row>
    <row r="36">
      <c r="A36" s="10" t="inlineStr">
        <is>
          <t>COD</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5"/>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114</v>
      </c>
      <c r="C54" t="n">
        <v>73</v>
      </c>
      <c r="D54" t="n">
        <v>84</v>
      </c>
    </row>
    <row r="55">
      <c r="A55" t="inlineStr">
        <is>
          <t>2026-06-19</t>
        </is>
      </c>
      <c r="B55" t="n">
        <v>117</v>
      </c>
      <c r="C55" t="n">
        <v>76</v>
      </c>
      <c r="D55" t="n">
        <v>84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2026-06-19T01:31:07Z</dcterms:created>
  <dcterms:modified xsi:type="dcterms:W3CDTF">2026-06-19T01:31:07Z</dcterms:modified>
</cp:coreProperties>
</file>