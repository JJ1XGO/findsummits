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FFFBE0"/>
      </patternFill>
    </fill>
    <fill>
      <patternFill patternType="solid">
        <fgColor rgb="00E8F5E9"/>
      </patternFill>
    </fill>
    <fill>
      <patternFill patternType="solid">
        <fgColor rgb="00EBF3FB"/>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6" borderId="1" applyAlignment="1" pivotButton="0" quotePrefix="0" xfId="0">
      <alignment horizontal="left" vertical="center" wrapText="1"/>
    </xf>
    <xf numFmtId="0" fontId="2"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'収束グラフ'!$A$2:$A$52</f>
            </strRef>
          </cat>
          <val>
            <numRef>
              <f>'収束グラフ'!$B$2:$B$52</f>
            </numRef>
          </val>
        </ser>
        <ser>
          <idx val="1"/>
          <order val="1"/>
          <tx>
            <strRef>
              <f>'収束グラフ'!C1</f>
            </strRef>
          </tx>
          <spPr>
            <a:ln w="20000">
              <a:solidFill>
                <a:srgbClr val="4472C4"/>
              </a:solidFill>
              <a:prstDash val="solid"/>
            </a:ln>
          </spPr>
          <marker>
            <symbol val="none"/>
            <spPr>
              <a:ln>
                <a:prstDash val="solid"/>
              </a:ln>
            </spPr>
          </marker>
          <cat>
            <strRef>
              <f>'収束グラフ'!$A$2:$A$52</f>
            </strRef>
          </cat>
          <val>
            <numRef>
              <f>'収束グラフ'!$C$2:$C$52</f>
            </numRef>
          </val>
        </ser>
        <ser>
          <idx val="2"/>
          <order val="2"/>
          <tx>
            <strRef>
              <f>'収束グラフ'!D1</f>
            </strRef>
          </tx>
          <spPr>
            <a:ln w="20000">
              <a:solidFill>
                <a:srgbClr val="70AD47"/>
              </a:solidFill>
              <a:prstDash val="solid"/>
            </a:ln>
          </spPr>
          <marker>
            <symbol val="none"/>
            <spPr>
              <a:ln>
                <a:prstDash val="solid"/>
              </a:ln>
            </spPr>
          </marker>
          <cat>
            <strRef>
              <f>'収束グラフ'!$A$2:$A$52</f>
            </strRef>
          </cat>
          <val>
            <numRef>
              <f>'収束グラフ'!$D$2:$D$52</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P10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6" customWidth="1" min="10" max="10"/>
    <col width="12" customWidth="1" min="11" max="11"/>
    <col width="14" customWidth="1" min="12" max="12"/>
    <col width="30" customWidth="1" min="13" max="13"/>
    <col width="30" customWidth="1" min="14" max="14"/>
    <col width="14" customWidth="1" min="15" max="15"/>
    <col width="14" customWidth="1" min="16" max="16"/>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対応予定ステージ</t>
        </is>
      </c>
      <c r="K1" s="1" t="inlineStr">
        <is>
          <t>ステータス</t>
        </is>
      </c>
      <c r="L1" s="1" t="inlineStr">
        <is>
          <t>担当者</t>
        </is>
      </c>
      <c r="M1" s="1" t="inlineStr">
        <is>
          <t>対応方針</t>
        </is>
      </c>
      <c r="N1" s="1" t="inlineStr">
        <is>
          <t>備考</t>
        </is>
      </c>
      <c r="O1" s="1" t="inlineStr">
        <is>
          <t>対応完了日</t>
        </is>
      </c>
      <c r="P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c r="K2" s="2" t="inlineStr">
        <is>
          <t>解決済</t>
        </is>
      </c>
      <c r="L2" s="2" t="inlineStr">
        <is>
          <t>JJ1XGO</t>
        </is>
      </c>
      <c r="M2" s="2" t="inlineStr">
        <is>
          <t>python3 scripts/merge.py --mesh-list params/mesh_5339_neighbors.txt を実行して結果確認</t>
        </is>
      </c>
      <c r="N2" s="2" t="inlineStr">
        <is>
          <t>ステップ1（prefetch）・ステップ2（findsummits 9メッシュ解析）は完了済み</t>
        </is>
      </c>
      <c r="O2" s="2" t="inlineStr">
        <is>
          <t>2026-04-26</t>
        </is>
      </c>
      <c r="P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c r="K3" s="2" t="inlineStr">
        <is>
          <t>却下</t>
        </is>
      </c>
      <c r="L3" s="2" t="inlineStr">
        <is>
          <t>JJ1XGO</t>
        </is>
      </c>
      <c r="M3" s="2" t="inlineStr"/>
      <c r="N3" s="2" t="inlineStr">
        <is>
          <t>ISSUE-001（ステップ3検証）の後に着手。突合列: match_status, summit_code, summit_name, peak_lat, peak_lon, peak_elev, col_lat, col_lon, col_elev, prominence, orig_lat, orig_lon, orig_elev</t>
        </is>
      </c>
      <c r="O3" s="2" t="inlineStr">
        <is>
          <t>2026-05-17</t>
        </is>
      </c>
      <c r="P3" s="2" t="inlineStr">
        <is>
          <t>2026-05-17</t>
        </is>
      </c>
    </row>
    <row r="4" ht="40" customHeight="1">
      <c r="A4" s="2" t="inlineStr">
        <is>
          <t>ISSUE-003</t>
        </is>
      </c>
      <c r="B4" s="2" t="inlineStr">
        <is>
          <t>output_xlsx.py 新規作成（申請用XLSX生成）</t>
        </is>
      </c>
      <c r="C4" s="2" t="inlineStr">
        <is>
          <t>openpyxl で SOTA申請用 XLSX を生成するスクリプト。新規シート(NEW)・変更シート(MOVED/ELEV_CHANGE)・削除シート(DELETED)・変更なしシート(MATCH)の4シート構成。prominence &lt; 150m の行は黄色ハイライト。</t>
        </is>
      </c>
      <c r="D4" s="2" t="inlineStr">
        <is>
          <t>機能追加</t>
        </is>
      </c>
      <c r="E4" s="3" t="inlineStr">
        <is>
          <t>高</t>
        </is>
      </c>
      <c r="F4" s="2" t="inlineStr">
        <is>
          <t>その他</t>
        </is>
      </c>
      <c r="G4" s="2" t="inlineStr">
        <is>
          <t>JJ1XGO</t>
        </is>
      </c>
      <c r="H4" s="2" t="inlineStr">
        <is>
          <t>2026-04-27</t>
        </is>
      </c>
      <c r="I4" s="2" t="inlineStr">
        <is>
          <t>COD</t>
        </is>
      </c>
      <c r="J4" s="2" t="inlineStr"/>
      <c r="K4" s="2" t="inlineStr">
        <is>
          <t>却下</t>
        </is>
      </c>
      <c r="L4" s="2" t="inlineStr">
        <is>
          <t>JJ1XGO</t>
        </is>
      </c>
      <c r="M4" s="2" t="inlineStr">
        <is>
          <t>URD/SRS 再設計に伴い廃止。output_xlsx.py の仕様は SRS 確定後に改めて起票する。元の説明にあった4シート構成はテンプレート未確認のまま Claude が設計した誤り（実際は1シート縦並び）。</t>
        </is>
      </c>
      <c r="N4" s="2" t="inlineStr">
        <is>
          <t>【2026-05-22 更新】MOVED/ELEV_CHANGE シート言及は廃止。最新仕様: 変更行 = is_band_change_candidate=true の matched ピーク（FR-011）。変更前標高=sota_alt_m、変更後標高=round(peak_elev)、山岳名は変更前後同値。根拠文は自動生成（FR-011 ※5参照）。名称変更申請は廃止されたため変更シートは標高バンド遷移のみ対象。</t>
        </is>
      </c>
      <c r="O4" s="2" t="inlineStr"/>
      <c r="P4" s="2" t="inlineStr">
        <is>
          <t>2026-05-23</t>
        </is>
      </c>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4" t="inlineStr">
        <is>
          <t>中</t>
        </is>
      </c>
      <c r="F5" s="2" t="inlineStr">
        <is>
          <t>GeoJSON出力</t>
        </is>
      </c>
      <c r="G5" s="2" t="inlineStr">
        <is>
          <t>JJ1XGO</t>
        </is>
      </c>
      <c r="H5" s="2" t="inlineStr">
        <is>
          <t>2026-04-27</t>
        </is>
      </c>
      <c r="I5" s="2" t="inlineStr">
        <is>
          <t>COD</t>
        </is>
      </c>
      <c r="J5" s="2" t="inlineStr"/>
      <c r="K5" s="2" t="inlineStr">
        <is>
          <t>解決済</t>
        </is>
      </c>
      <c r="L5" s="2" t="inlineStr">
        <is>
          <t>JJ1XGO</t>
        </is>
      </c>
      <c r="M5" s="2" t="inlineStr"/>
      <c r="N5" s="2" t="inlineStr">
        <is>
          <t>SOTA スコア別色（MATCHのみ）: 10点=赤, 8点=黄, 6点=緑, 4点=シアン, 2点=青, 1点=紫</t>
        </is>
      </c>
      <c r="O5" s="2" t="inlineStr">
        <is>
          <t>2026-04-27</t>
        </is>
      </c>
      <c r="P5" s="2" t="inlineStr">
        <is>
          <t>2026-04-27</t>
        </is>
      </c>
    </row>
    <row r="6" ht="40" customHeight="1">
      <c r="A6" s="2" t="inlineStr">
        <is>
          <t>ISSUE-005</t>
        </is>
      </c>
      <c r="B6" s="2" t="inlineStr">
        <is>
          <t>九州・四国メッシュでの統合テスト</t>
        </is>
      </c>
      <c r="C6" s="2" t="inlineStr">
        <is>
          <t>フルパイプ検証（9メッシュ）が通った後、九州・四国メッシュで end-to-end テストを実施。findsummits4sotaja の過去結果（sotaJA_SummitPeakCol_All5.xlsx）と比較。許容差: ピーク座標 ±100m、標高 ±5m、プロミネンス ±20m。</t>
        </is>
      </c>
      <c r="D6" s="2" t="inlineStr">
        <is>
          <t>調査</t>
        </is>
      </c>
      <c r="E6" s="4" t="inlineStr">
        <is>
          <t>中</t>
        </is>
      </c>
      <c r="F6" s="2" t="inlineStr">
        <is>
          <t>解析エンジン</t>
        </is>
      </c>
      <c r="G6" s="2" t="inlineStr">
        <is>
          <t>JJ1XGO</t>
        </is>
      </c>
      <c r="H6" s="2" t="inlineStr">
        <is>
          <t>2026-04-27</t>
        </is>
      </c>
      <c r="I6" s="2" t="inlineStr">
        <is>
          <t>ST</t>
        </is>
      </c>
      <c r="J6" s="2" t="inlineStr"/>
      <c r="K6" s="2" t="inlineStr">
        <is>
          <t>却下</t>
        </is>
      </c>
      <c r="L6" s="2" t="inlineStr">
        <is>
          <t>JJ1XGO</t>
        </is>
      </c>
      <c r="M6" s="2" t="inlineStr">
        <is>
          <t>URD/SRS 再設計に伴い廃止。</t>
        </is>
      </c>
      <c r="N6" s="2" t="inlineStr">
        <is>
          <t>複数メッシュ境界付近の既知の山が GeoJSON で正しく1件表示されることも確認。DEM5なしメッシュの DEM10 フォールバック結果の妥当性も確認。</t>
        </is>
      </c>
      <c r="O6" s="2" t="inlineStr"/>
      <c r="P6" s="2" t="inlineStr">
        <is>
          <t>2026-05-23</t>
        </is>
      </c>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4" t="inlineStr">
        <is>
          <t>中</t>
        </is>
      </c>
      <c r="F7" s="2" t="inlineStr">
        <is>
          <t>merge.py</t>
        </is>
      </c>
      <c r="G7" s="2" t="inlineStr">
        <is>
          <t>JJ1XGO</t>
        </is>
      </c>
      <c r="H7" s="2" t="inlineStr">
        <is>
          <t>2026-04-27</t>
        </is>
      </c>
      <c r="I7" s="2" t="inlineStr">
        <is>
          <t>IT</t>
        </is>
      </c>
      <c r="J7" s="2" t="inlineStr"/>
      <c r="K7" s="2" t="inlineStr">
        <is>
          <t>却下</t>
        </is>
      </c>
      <c r="L7" s="2" t="inlineStr">
        <is>
          <t>JJ1XGO</t>
        </is>
      </c>
      <c r="M7" s="2" t="inlineStr"/>
      <c r="N7" s="2" t="inlineStr">
        <is>
          <t>ISSUE-001 完了後に着手</t>
        </is>
      </c>
      <c r="O7" s="2" t="inlineStr">
        <is>
          <t>2026-05-17</t>
        </is>
      </c>
      <c r="P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5" t="inlineStr">
        <is>
          <t>低</t>
        </is>
      </c>
      <c r="F8" s="2" t="inlineStr">
        <is>
          <t>その他</t>
        </is>
      </c>
      <c r="G8" s="2" t="inlineStr">
        <is>
          <t>JJ1XGO</t>
        </is>
      </c>
      <c r="H8" s="2" t="inlineStr">
        <is>
          <t>2026-04-27</t>
        </is>
      </c>
      <c r="I8" s="2" t="inlineStr">
        <is>
          <t>OPS</t>
        </is>
      </c>
      <c r="J8" s="2" t="inlineStr"/>
      <c r="K8" s="2" t="inlineStr">
        <is>
          <t>却下</t>
        </is>
      </c>
      <c r="L8" s="2" t="inlineStr">
        <is>
          <t>JJ1XGO</t>
        </is>
      </c>
      <c r="M8" s="2" t="inlineStr"/>
      <c r="N8" s="2" t="inlineStr">
        <is>
          <t>フルパイプ検証前に仕様を詰めても実行時の問題で仕様変更になりやすいため後回し</t>
        </is>
      </c>
      <c r="O8" s="2" t="inlineStr">
        <is>
          <t>2026-05-17</t>
        </is>
      </c>
      <c r="P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c r="K9" s="2" t="inlineStr">
        <is>
          <t>却下</t>
        </is>
      </c>
      <c r="L9" s="2" t="inlineStr">
        <is>
          <t>JJ1XGO</t>
        </is>
      </c>
      <c r="M9" s="2" t="inlineStr"/>
      <c r="N9" s="2" t="inlineStr">
        <is>
          <t>plan_v1.md: .claude/mgmt/plan_v1.md</t>
        </is>
      </c>
      <c r="O9" s="2" t="inlineStr">
        <is>
          <t>2026-05-17</t>
        </is>
      </c>
      <c r="P9" s="2" t="inlineStr">
        <is>
          <t>2026-05-17</t>
        </is>
      </c>
    </row>
    <row r="10" ht="40" customHeight="1">
      <c r="A10" s="6" t="inlineStr">
        <is>
          <t>ISSUE-009</t>
        </is>
      </c>
      <c r="B10" s="6" t="inlineStr">
        <is>
          <t>新規サミット仮コードへの地域コード自動付与</t>
        </is>
      </c>
      <c r="C10" s="6" t="inlineStr">
        <is>
          <t>現在は仮コードが ZZ/ZZ-001 形式の連番。座標から都道府県を判定し、SOTA JA のアソシエーション/リージョンコード（北海道・本州・四国・九州）を仮コードに反映できるか実装を検討する。</t>
        </is>
      </c>
      <c r="D10" s="6" t="inlineStr">
        <is>
          <t>機能追加</t>
        </is>
      </c>
      <c r="E10" s="5" t="inlineStr">
        <is>
          <t>低</t>
        </is>
      </c>
      <c r="F10" s="6" t="inlineStr">
        <is>
          <t>merge.py</t>
        </is>
      </c>
      <c r="G10" s="6" t="inlineStr">
        <is>
          <t>JJ1XGO</t>
        </is>
      </c>
      <c r="H10" s="6" t="inlineStr">
        <is>
          <t>2026-04-27</t>
        </is>
      </c>
      <c r="I10" s="6" t="inlineStr">
        <is>
          <t>HLD</t>
        </is>
      </c>
      <c r="J10" s="6" t="inlineStr">
        <is>
          <t>COD</t>
        </is>
      </c>
      <c r="K10" s="6" t="inlineStr">
        <is>
          <t>未対応</t>
        </is>
      </c>
      <c r="L10" s="6" t="inlineStr">
        <is>
          <t>Claude</t>
        </is>
      </c>
      <c r="M10" s="6" t="inlineStr">
        <is>
          <t>SRS FR-009 に仕様記述済み。COD ステージで preprocess_pref_boundaries.py を実行して N03 GeoJSON を生成後に実装する。</t>
        </is>
      </c>
      <c r="N10" s="6" t="inlineStr">
        <is>
          <t>将来実装候補。フルパイプ検証・申請用出力フェーズ完了後に検討。</t>
        </is>
      </c>
      <c r="O10" s="6" t="inlineStr"/>
      <c r="P10" s="6"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4" t="inlineStr">
        <is>
          <t>中</t>
        </is>
      </c>
      <c r="F11" s="2" t="inlineStr">
        <is>
          <t>設定</t>
        </is>
      </c>
      <c r="G11" s="2" t="inlineStr"/>
      <c r="H11" s="2" t="inlineStr">
        <is>
          <t>2026-04-28</t>
        </is>
      </c>
      <c r="I11" s="2" t="inlineStr">
        <is>
          <t>OPS</t>
        </is>
      </c>
      <c r="J11" s="2" t="inlineStr"/>
      <c r="K11" s="2" t="inlineStr">
        <is>
          <t>解決済</t>
        </is>
      </c>
      <c r="L11" s="2" t="inlineStr">
        <is>
          <t>JJ1XGO</t>
        </is>
      </c>
      <c r="M11" s="2" t="inlineStr">
        <is>
          <t>requirements.txt・.gitignore・CLAUDE.md は小規模な編集。README.md は現状に合わせて内容を整理してから更新する</t>
        </is>
      </c>
      <c r="N11" s="2" t="inlineStr"/>
      <c r="O11" s="2" t="inlineStr">
        <is>
          <t>2026-05-17</t>
        </is>
      </c>
      <c r="P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4" t="inlineStr">
        <is>
          <t>中</t>
        </is>
      </c>
      <c r="F12" s="2" t="inlineStr">
        <is>
          <t>設定</t>
        </is>
      </c>
      <c r="G12" s="2" t="inlineStr"/>
      <c r="H12" s="2" t="inlineStr">
        <is>
          <t>2026-04-28</t>
        </is>
      </c>
      <c r="I12" s="2" t="inlineStr">
        <is>
          <t>OPS</t>
        </is>
      </c>
      <c r="J12" s="2" t="inlineStr"/>
      <c r="K12" s="2" t="inlineStr">
        <is>
          <t>解決済</t>
        </is>
      </c>
      <c r="L12" s="2" t="inlineStr"/>
      <c r="M12" s="2" t="inlineStr">
        <is>
          <t>CLAUDE.mdのルールと制約セクションに追記</t>
        </is>
      </c>
      <c r="N12" s="2" t="inlineStr"/>
      <c r="O12" s="2" t="inlineStr">
        <is>
          <t>2026-04-28</t>
        </is>
      </c>
      <c r="P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4" t="inlineStr">
        <is>
          <t>中</t>
        </is>
      </c>
      <c r="F13" s="2" t="inlineStr"/>
      <c r="G13" s="2" t="inlineStr">
        <is>
          <t>JJ1XGO</t>
        </is>
      </c>
      <c r="H13" s="2" t="inlineStr">
        <is>
          <t>2026-05-08</t>
        </is>
      </c>
      <c r="I13" s="2" t="inlineStr">
        <is>
          <t>SRS</t>
        </is>
      </c>
      <c r="J13" s="2" t="inlineStr"/>
      <c r="K13" s="2" t="inlineStr">
        <is>
          <t>解決済</t>
        </is>
      </c>
      <c r="L13" s="2" t="inlineStr"/>
      <c r="M13" s="2" t="inlineStr">
        <is>
          <t>スコープ外として対応しない。matched サミットの座標・標高変更は本プロジェクトでは自動識別しない。既存登録情報は概ね正しいと判断。URD UR-003・スコープ外セクションに反映済み。</t>
        </is>
      </c>
      <c r="N13" s="2" t="inlineStr"/>
      <c r="O13" s="2" t="inlineStr">
        <is>
          <t>2026-05-10</t>
        </is>
      </c>
      <c r="P13" s="2" t="inlineStr">
        <is>
          <t>2026-05-17</t>
        </is>
      </c>
    </row>
    <row r="14" ht="40" customHeight="1">
      <c r="A14" s="2" t="inlineStr">
        <is>
          <t>ISSUE-013</t>
        </is>
      </c>
      <c r="B14" s="2" t="inlineStr">
        <is>
          <t>prefetch_tiles.py の取得範囲を各メッシュの最小範囲に修正</t>
        </is>
      </c>
      <c r="C14" s="2"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2" t="inlineStr">
        <is>
          <t>改善</t>
        </is>
      </c>
      <c r="E14" s="4" t="inlineStr">
        <is>
          <t>中</t>
        </is>
      </c>
      <c r="F14" s="2" t="inlineStr"/>
      <c r="G14" s="2" t="inlineStr"/>
      <c r="H14" s="2" t="inlineStr">
        <is>
          <t>2026-05-08</t>
        </is>
      </c>
      <c r="I14" s="2" t="inlineStr">
        <is>
          <t>COD</t>
        </is>
      </c>
      <c r="J14" s="2" t="inlineStr">
        <is>
          <t>COD</t>
        </is>
      </c>
      <c r="K14" s="2" t="inlineStr">
        <is>
          <t>却下</t>
        </is>
      </c>
      <c r="L14" s="2" t="inlineStr">
        <is>
          <t>Claude</t>
        </is>
      </c>
      <c r="M14" s="2" t="inlineStr">
        <is>
          <t>scripts/prefetch_tiles.py の enumerate_jobs() から隣接メッシュ拡張ロジック（nb not in mesh_set の分岐）を削除し、各メッシュ単独の mesh_to_tile_range(meshcode) のみを取得するよう修正する。</t>
        </is>
      </c>
      <c r="N14" s="2" t="inlineStr"/>
      <c r="O14" s="2" t="inlineStr"/>
      <c r="P14" s="2" t="inlineStr">
        <is>
          <t>2026-06-07</t>
        </is>
      </c>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4" t="inlineStr">
        <is>
          <t>中</t>
        </is>
      </c>
      <c r="F15" s="2" t="inlineStr"/>
      <c r="G15" s="2" t="inlineStr"/>
      <c r="H15" s="2" t="inlineStr">
        <is>
          <t>2026-05-09</t>
        </is>
      </c>
      <c r="I15" s="2" t="inlineStr">
        <is>
          <t>SRS</t>
        </is>
      </c>
      <c r="J15" s="2" t="inlineStr"/>
      <c r="K15" s="2" t="inlineStr">
        <is>
          <t>解決済</t>
        </is>
      </c>
      <c r="L15" s="2" t="inlineStr"/>
      <c r="M15" s="2" t="inlineStr">
        <is>
          <t>ADR-SRS-008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全体・ADR-SRS-004・ADR-SRS-008・GLOSSARY の全箇所を更新）。実装コード（src/*.c 等）への追従は別タスク（本 ISSUE のスコープ外）。</t>
        </is>
      </c>
      <c r="N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O15" s="2" t="inlineStr">
        <is>
          <t>2026-05-10</t>
        </is>
      </c>
      <c r="P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4" t="inlineStr">
        <is>
          <t>中</t>
        </is>
      </c>
      <c r="F16" s="2" t="inlineStr"/>
      <c r="G16" s="2" t="inlineStr"/>
      <c r="H16" s="2" t="inlineStr">
        <is>
          <t>2026-05-09</t>
        </is>
      </c>
      <c r="I16" s="2" t="inlineStr">
        <is>
          <t>SRS</t>
        </is>
      </c>
      <c r="J16" s="2" t="inlineStr"/>
      <c r="K16" s="2" t="inlineStr">
        <is>
          <t>解決済</t>
        </is>
      </c>
      <c r="L16" s="2" t="inlineStr"/>
      <c r="M16" s="2" t="inlineStr">
        <is>
          <t>GitHub Pages 公開ツールからローカル用HTMLビューア（docs/mockup/viewer_mockup.html）に方針変更。山岳名JP/EN入力フォームとlocalStorage保存を実装。FR-013に仕様として取り込み済み。</t>
        </is>
      </c>
      <c r="N16" s="2" t="inlineStr"/>
      <c r="O16" s="2" t="inlineStr">
        <is>
          <t>2026-05-13</t>
        </is>
      </c>
      <c r="P16" s="2" t="inlineStr">
        <is>
          <t>2026-05-17</t>
        </is>
      </c>
    </row>
    <row r="17" ht="40" customHeight="1">
      <c r="A17" s="2" t="inlineStr">
        <is>
          <t>ISSUE-016</t>
        </is>
      </c>
      <c r="B17" s="2" t="inlineStr">
        <is>
          <t>merge.py: --mesh-list 指定時は対象メッシュの CSV のみ読み込む</t>
        </is>
      </c>
      <c r="C17" s="2"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2" t="inlineStr"/>
      <c r="E17" s="4" t="inlineStr">
        <is>
          <t>中</t>
        </is>
      </c>
      <c r="F17" s="2" t="inlineStr">
        <is>
          <t>merge.py</t>
        </is>
      </c>
      <c r="G17" s="2" t="inlineStr"/>
      <c r="H17" s="2" t="inlineStr">
        <is>
          <t>2026-05-09</t>
        </is>
      </c>
      <c r="I17" s="2" t="inlineStr">
        <is>
          <t>COD</t>
        </is>
      </c>
      <c r="J17" s="2" t="inlineStr">
        <is>
          <t>COD</t>
        </is>
      </c>
      <c r="K17" s="2" t="inlineStr">
        <is>
          <t>却下</t>
        </is>
      </c>
      <c r="L17" s="2" t="inlineStr">
        <is>
          <t>Sonnet</t>
        </is>
      </c>
      <c r="M17" s="2" t="inlineStr">
        <is>
          <t>scripts/merge.py の load_peaks() に --mesh-list 指定時の絞り込みロジックを追加する。指定メッシュコードのセットを受け取り、csv_dir 配下から {meshcode}.csv のみを対象にする。省略時は現行の glob 全読み込みを維持する。</t>
        </is>
      </c>
      <c r="N17" s="2" t="inlineStr"/>
      <c r="O17" s="2" t="inlineStr"/>
      <c r="P17" s="2" t="inlineStr">
        <is>
          <t>2026-06-07</t>
        </is>
      </c>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4" t="inlineStr">
        <is>
          <t>中</t>
        </is>
      </c>
      <c r="F18" s="2" t="inlineStr">
        <is>
          <t>merge.py</t>
        </is>
      </c>
      <c r="G18" s="2" t="inlineStr"/>
      <c r="H18" s="2" t="inlineStr">
        <is>
          <t>2026-05-09</t>
        </is>
      </c>
      <c r="I18" s="2" t="inlineStr">
        <is>
          <t>SRS</t>
        </is>
      </c>
      <c r="J18" s="2" t="inlineStr"/>
      <c r="K18" s="2" t="inlineStr">
        <is>
          <t>解決済</t>
        </is>
      </c>
      <c r="L18" s="2" t="inlineStr"/>
      <c r="M18" s="2" t="inlineStr">
        <is>
          <t>SRS に FR-018（activation.geojson 統合ステップ）を新設。フェーズ3を FR-008 → FR-018 → FR-014 の構成に再設計し、FR-009 の前に統合済み activation.geojson が参照できるよう仕様化。コミット 5b633f5（2026-05-09）で対応完了。</t>
        </is>
      </c>
      <c r="N18" s="2" t="inlineStr"/>
      <c r="O18" s="2" t="inlineStr">
        <is>
          <t>2026-05-09</t>
        </is>
      </c>
      <c r="P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c r="K19" s="2" t="inlineStr">
        <is>
          <t>解決済</t>
        </is>
      </c>
      <c r="L19" s="2" t="inlineStr"/>
      <c r="M19" s="2" t="inlineStr">
        <is>
          <t>案 B（peak.match_status は変更せず、summit.dominant_peak_code で紐付けのみ）を採用。peak は常に match_status=new のまま、delete サミットが従属する dominant peak を dominant_peak_code で参照する形で実装。SRS FR-009・ADR-SRS-008 L29 参照。</t>
        </is>
      </c>
      <c r="N19" s="2" t="inlineStr"/>
      <c r="O19" s="2" t="inlineStr">
        <is>
          <t>2026-05-16</t>
        </is>
      </c>
      <c r="P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c r="K20" s="2" t="inlineStr">
        <is>
          <t>解決済</t>
        </is>
      </c>
      <c r="L20" s="2" t="inlineStr"/>
      <c r="M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N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O20" s="2" t="inlineStr">
        <is>
          <t>2026-05-20</t>
        </is>
      </c>
      <c r="P20" s="2" t="inlineStr">
        <is>
          <t>2026-05-20</t>
        </is>
      </c>
    </row>
    <row r="21" ht="40" customHeight="1">
      <c r="A21" s="2" t="inlineStr">
        <is>
          <t>ISSUE-020</t>
        </is>
      </c>
      <c r="B21" s="2" t="inlineStr">
        <is>
          <t>FR-013 / FR-014: 手動調査待ちピークの GeoJSON フィーチャ扱い</t>
        </is>
      </c>
      <c r="C21" s="2"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2" t="inlineStr">
        <is>
          <t>設計</t>
        </is>
      </c>
      <c r="E21" s="3" t="inlineStr">
        <is>
          <t>高</t>
        </is>
      </c>
      <c r="F21" s="2" t="inlineStr">
        <is>
          <t>GeoJSON出力</t>
        </is>
      </c>
      <c r="G21" s="2" t="inlineStr"/>
      <c r="H21" s="2" t="inlineStr">
        <is>
          <t>2026-05-14</t>
        </is>
      </c>
      <c r="I21" s="2" t="inlineStr">
        <is>
          <t>SRS</t>
        </is>
      </c>
      <c r="J21" s="2" t="inlineStr"/>
      <c r="K21" s="2" t="inlineStr">
        <is>
          <t>解決済</t>
        </is>
      </c>
      <c r="L21" s="2" t="inlineStr"/>
      <c r="M21" s="2" t="inlineStr">
        <is>
          <t>delete判定ゾーンポリゴン方式（max(col_elev, peak_elev - delete_zone_max_drop) 以上の Flood Fill）を採用し、コル等高線ポリゴンを廃止。実装可能な仕様レベルまで確定。
Phase A 完了（SRS / ADR / GLOSSARY 改修）:
- ADR-SRS-011 (delete判定ゾーンポリゴン採用) 新規作成
- ADR-URD-007 / ADR-SRS-008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ADR-SRS-011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N21" s="2"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ADR-URD-007 維持（peak.match_status は matched/dominant/new、ポリゴンだけ置換）
- ADR-SRS-008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docs/decisions/ADR-URD-007/008（影響確認）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O21" s="2" t="inlineStr">
        <is>
          <t>2026-05-21</t>
        </is>
      </c>
      <c r="P21" s="2" t="inlineStr">
        <is>
          <t>2026-05-22</t>
        </is>
      </c>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4" t="inlineStr">
        <is>
          <t>中</t>
        </is>
      </c>
      <c r="F22" s="2" t="inlineStr">
        <is>
          <t>merge.py</t>
        </is>
      </c>
      <c r="G22" s="2" t="inlineStr"/>
      <c r="H22" s="2" t="inlineStr">
        <is>
          <t>2026-05-14</t>
        </is>
      </c>
      <c r="I22" s="2" t="inlineStr">
        <is>
          <t>SRS</t>
        </is>
      </c>
      <c r="J22" s="2" t="inlineStr"/>
      <c r="K22" s="2" t="inlineStr">
        <is>
          <t>解決済</t>
        </is>
      </c>
      <c r="L22" s="2" t="inlineStr"/>
      <c r="M22" s="2" t="inlineStr">
        <is>
          <t>FR-014 出力節に以下のいずれかを明示:
案A: 'per-mesh ファイルは更新せず、merged.csv / merged_activation.geojson のみ更新'
案B: '中間ファイルも更新する'（再現性向上のため）</t>
        </is>
      </c>
      <c r="N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FR-018、ADR-SRS-004 Decision「出力スコープ」</t>
        </is>
      </c>
      <c r="O22" s="2" t="inlineStr">
        <is>
          <t>2026-05-18</t>
        </is>
      </c>
      <c r="P22" s="2" t="inlineStr">
        <is>
          <t>2026-05-20</t>
        </is>
      </c>
    </row>
    <row r="23" ht="40" customHeight="1">
      <c r="A23" s="2" t="inlineStr">
        <is>
          <t>ISSUE-022</t>
        </is>
      </c>
      <c r="B23" s="2" t="inlineStr">
        <is>
          <t>FR-017: 北方領土タイル判定基準（タイル中心点）の明示</t>
        </is>
      </c>
      <c r="C23" s="2" t="inlineStr">
        <is>
          <t>URD/SRS レビュー指摘 M-2。FR-017 L125 で 'excluded_tiles.txt = ポリゴン内のタイル座標リスト' とあるが、'ポリゴン内' の判定基準（タイル中心点 / タイルの任意点 / タイルとポリゴンの交差）が SRS 本文で未規定。ADR-URD-005 L47 では 'ポリゴン内に中心点が含まれる全タイル' と書かれているが SRS / GLOSSARY に反映されていない。</t>
        </is>
      </c>
      <c r="D23" s="2" t="inlineStr">
        <is>
          <t>改善</t>
        </is>
      </c>
      <c r="E23" s="4" t="inlineStr">
        <is>
          <t>中</t>
        </is>
      </c>
      <c r="F23" s="2" t="inlineStr">
        <is>
          <t>その他</t>
        </is>
      </c>
      <c r="G23" s="2" t="inlineStr"/>
      <c r="H23" s="2" t="inlineStr">
        <is>
          <t>2026-05-14</t>
        </is>
      </c>
      <c r="I23" s="2" t="inlineStr">
        <is>
          <t>SRS</t>
        </is>
      </c>
      <c r="J23" s="2" t="inlineStr"/>
      <c r="K23" s="2" t="inlineStr">
        <is>
          <t>解決済</t>
        </is>
      </c>
      <c r="L23" s="2" t="inlineStr">
        <is>
          <t>Claude</t>
        </is>
      </c>
      <c r="M23" s="2" t="inlineStr">
        <is>
          <t>FR-017 に 'タイル中心点が北方領土6村ポリゴンに含まれるタイルを列挙' と明示し、ADR-URD-005 と同じ規定を SRS に転記する。</t>
        </is>
      </c>
      <c r="N23" s="2" t="inlineStr"/>
      <c r="O23" s="2" t="inlineStr">
        <is>
          <t>2026-05-23</t>
        </is>
      </c>
      <c r="P23" s="2" t="inlineStr">
        <is>
          <t>2026-05-23</t>
        </is>
      </c>
    </row>
    <row r="24" ht="40" customHeight="1">
      <c r="A24" s="2" t="inlineStr">
        <is>
          <t>ISSUE-023</t>
        </is>
      </c>
      <c r="B24" s="2" t="inlineStr">
        <is>
          <t>NFR-003: 決定論性スコープから timestamp 除外を明記</t>
        </is>
      </c>
      <c r="C24" s="2" t="inlineStr">
        <is>
          <t>URD/SRS レビュー指摘 M-3。NFR-003 L527-529 で 'すべての出力が同一の内容になること' とあるが、merged.geojson の metadata.generated_at は実行時刻に依存するため完全な同一性は不可能。</t>
        </is>
      </c>
      <c r="D24" s="2" t="inlineStr">
        <is>
          <t>改善</t>
        </is>
      </c>
      <c r="E24" s="4" t="inlineStr">
        <is>
          <t>中</t>
        </is>
      </c>
      <c r="F24" s="2" t="inlineStr">
        <is>
          <t>その他</t>
        </is>
      </c>
      <c r="G24" s="2" t="inlineStr"/>
      <c r="H24" s="2" t="inlineStr">
        <is>
          <t>2026-05-14</t>
        </is>
      </c>
      <c r="I24" s="2" t="inlineStr">
        <is>
          <t>SRS</t>
        </is>
      </c>
      <c r="J24" s="2" t="inlineStr"/>
      <c r="K24" s="2" t="inlineStr">
        <is>
          <t>解決済</t>
        </is>
      </c>
      <c r="L24" s="2" t="inlineStr">
        <is>
          <t>Claude</t>
        </is>
      </c>
      <c r="M24" s="2" t="inlineStr">
        <is>
          <t>NFR-003 に 'metadata.generated_at 等の実行時タイムスタンプを除き、ピーク座標・標高・突合結果・採番が同一であること' と除外規定を明記。</t>
        </is>
      </c>
      <c r="N24" s="2" t="inlineStr"/>
      <c r="O24" s="2" t="inlineStr">
        <is>
          <t>2026-05-23</t>
        </is>
      </c>
      <c r="P24" s="2" t="inlineStr">
        <is>
          <t>2026-05-23</t>
        </is>
      </c>
    </row>
    <row r="25" ht="40" customHeight="1">
      <c r="A25" s="2" t="inlineStr">
        <is>
          <t>ISSUE-024</t>
        </is>
      </c>
      <c r="B25" s="2" t="inlineStr">
        <is>
          <t>FR-015: 標高地形図の縮小方法を規定</t>
        </is>
      </c>
      <c r="C25" s="2"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2" t="inlineStr">
        <is>
          <t>改善</t>
        </is>
      </c>
      <c r="E25" s="4" t="inlineStr">
        <is>
          <t>中</t>
        </is>
      </c>
      <c r="F25" s="2" t="inlineStr">
        <is>
          <t>解析エンジン</t>
        </is>
      </c>
      <c r="G25" s="2" t="inlineStr"/>
      <c r="H25" s="2" t="inlineStr">
        <is>
          <t>2026-05-14</t>
        </is>
      </c>
      <c r="I25" s="2" t="inlineStr">
        <is>
          <t>SRS</t>
        </is>
      </c>
      <c r="J25" s="2" t="inlineStr">
        <is>
          <t>SRS</t>
        </is>
      </c>
      <c r="K25" s="2" t="inlineStr">
        <is>
          <t>解決済</t>
        </is>
      </c>
      <c r="L25" s="2" t="inlineStr"/>
      <c r="M25" s="2" t="inlineStr">
        <is>
          <t>FR-015 に縮小方式を明示する（推奨: max pooling でダウンサンプル、NODATA は除外）。もしくは HLD で規定する旨を SRS に明記。</t>
        </is>
      </c>
      <c r="N25" s="2" t="inlineStr"/>
      <c r="O25" s="2" t="inlineStr">
        <is>
          <t>2026-05-23</t>
        </is>
      </c>
      <c r="P25" s="2" t="inlineStr">
        <is>
          <t>2026-05-23</t>
        </is>
      </c>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4" t="inlineStr">
        <is>
          <t>中</t>
        </is>
      </c>
      <c r="F26" s="2" t="inlineStr">
        <is>
          <t>merge.py</t>
        </is>
      </c>
      <c r="G26" s="2" t="inlineStr"/>
      <c r="H26" s="2" t="inlineStr">
        <is>
          <t>2026-05-14</t>
        </is>
      </c>
      <c r="I26" s="2" t="inlineStr">
        <is>
          <t>SRS</t>
        </is>
      </c>
      <c r="J26" s="2" t="inlineStr"/>
      <c r="K26" s="2" t="inlineStr">
        <is>
          <t>解決済</t>
        </is>
      </c>
      <c r="L26" s="2" t="inlineStr"/>
      <c r="M26" s="2" t="inlineStr">
        <is>
          <t>FR-009 の用語定義または GLOSSARY で標高バンド境界表を提示する（SOTA 日本支部の正式表を出典として引用）。緯度区分がある場合は区分も含めて表で記述。</t>
        </is>
      </c>
      <c r="N26" s="2" t="inlineStr">
        <is>
          <t>【2026-05-22 対応完了】GLOSSARY に SOTA 日本支部参照マニュアル（2025年7月改定版）に基づく標高バンド表を追加（全国統一・地域依存なし）。SRS FR-009 に変更申請判定（Points バンド遷移）セクションを追加し、GLOSSARY への参照リンクで出典を明示。ref/SOURCES.md にも出典エントリを追加。本 ISSUE は ISSUE-046（変更申請判定スコープ変更）に統合。</t>
        </is>
      </c>
      <c r="O26" s="2" t="inlineStr">
        <is>
          <t>2026-05-22</t>
        </is>
      </c>
      <c r="P26" s="2" t="inlineStr">
        <is>
          <t>2026-05-22</t>
        </is>
      </c>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5" t="inlineStr">
        <is>
          <t>低</t>
        </is>
      </c>
      <c r="F27" s="2" t="inlineStr">
        <is>
          <t>その他</t>
        </is>
      </c>
      <c r="G27" s="2" t="inlineStr"/>
      <c r="H27" s="2" t="inlineStr">
        <is>
          <t>2026-05-14</t>
        </is>
      </c>
      <c r="I27" s="2" t="inlineStr">
        <is>
          <t>SRS</t>
        </is>
      </c>
      <c r="J27" s="2" t="inlineStr"/>
      <c r="K27" s="2" t="inlineStr">
        <is>
          <t>解決済</t>
        </is>
      </c>
      <c r="L27" s="2" t="inlineStr"/>
      <c r="M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N27" s="2" t="inlineStr"/>
      <c r="O27" s="2" t="inlineStr">
        <is>
          <t>2026-05-17</t>
        </is>
      </c>
      <c r="P27" s="2" t="inlineStr">
        <is>
          <t>2026-05-17</t>
        </is>
      </c>
    </row>
    <row r="28" ht="40" customHeight="1">
      <c r="A28" s="2" t="inlineStr">
        <is>
          <t>ISSUE-027</t>
        </is>
      </c>
      <c r="B28" s="2" t="inlineStr">
        <is>
          <t>GLOSSARY 補完（削除候補・dominant peak 見出し統一）</t>
        </is>
      </c>
      <c r="C28" s="2" t="inlineStr">
        <is>
          <t>URD/SRS レビュー指摘 L-4。'削除候補（deleted）' が用語集に独立項目として未定義。dominant peak の説明文で言及されるのみ。</t>
        </is>
      </c>
      <c r="D28" s="2" t="inlineStr">
        <is>
          <t>改善</t>
        </is>
      </c>
      <c r="E28" s="5" t="inlineStr">
        <is>
          <t>低</t>
        </is>
      </c>
      <c r="F28" s="2" t="inlineStr">
        <is>
          <t>その他</t>
        </is>
      </c>
      <c r="G28" s="2" t="inlineStr"/>
      <c r="H28" s="2" t="inlineStr">
        <is>
          <t>2026-05-14</t>
        </is>
      </c>
      <c r="I28" s="2" t="inlineStr">
        <is>
          <t>SRS</t>
        </is>
      </c>
      <c r="J28" s="2" t="inlineStr"/>
      <c r="K28" s="2" t="inlineStr">
        <is>
          <t>解決済</t>
        </is>
      </c>
      <c r="L28" s="2" t="inlineStr">
        <is>
          <t>Claude</t>
        </is>
      </c>
      <c r="M28" s="2" t="inlineStr">
        <is>
          <t>GLOSSARY に以下を追加:
(1) '削除候補（deleted サミット）' を独立項目として追加（ISSUE-018 の sota_summit.match_status=deleted 定義と整合）
(2) ISSUE-026 と協調して 'dominant peak' 見出しを英語表記に統一</t>
        </is>
      </c>
      <c r="N28" s="2" t="inlineStr"/>
      <c r="O28" s="2" t="inlineStr">
        <is>
          <t>2026-05-23</t>
        </is>
      </c>
      <c r="P28" s="2" t="inlineStr">
        <is>
          <t>2026-05-23</t>
        </is>
      </c>
    </row>
    <row r="29" ht="40" customHeight="1">
      <c r="A29" s="2" t="inlineStr">
        <is>
          <t>ISSUE-028</t>
        </is>
      </c>
      <c r="B29" s="2" t="inlineStr">
        <is>
          <t>フォールバック規定の集約（FR-003 / FR-017 / 6.9 の重複解消）</t>
        </is>
      </c>
      <c r="C29" s="2" t="inlineStr">
        <is>
          <t>URD/SRS レビュー指摘 L-5。excluded_tiles.txt / regions.geojson / municipalities.geojson の未存在時フォールバック動作が FR-003 / FR-017 / 6.9 の3箇所で重複記載されている。変更時の同期コストが高い。</t>
        </is>
      </c>
      <c r="D29" s="2" t="inlineStr">
        <is>
          <t>改善</t>
        </is>
      </c>
      <c r="E29" s="5" t="inlineStr">
        <is>
          <t>低</t>
        </is>
      </c>
      <c r="F29" s="2" t="inlineStr">
        <is>
          <t>その他</t>
        </is>
      </c>
      <c r="G29" s="2" t="inlineStr"/>
      <c r="H29" s="2" t="inlineStr">
        <is>
          <t>2026-05-14</t>
        </is>
      </c>
      <c r="I29" s="2" t="inlineStr">
        <is>
          <t>SRS</t>
        </is>
      </c>
      <c r="J29" s="2" t="inlineStr"/>
      <c r="K29" s="2" t="inlineStr">
        <is>
          <t>解決済</t>
        </is>
      </c>
      <c r="L29" s="2" t="inlineStr">
        <is>
          <t>Claude</t>
        </is>
      </c>
      <c r="M29" s="2" t="inlineStr">
        <is>
          <t>フォールバック規定を 1 箇所（推奨: FR-017 のみ）に集約し、他箇所からは '詳細は FR-017 参照' とリンクする。</t>
        </is>
      </c>
      <c r="N29" s="2" t="inlineStr"/>
      <c r="O29" s="2" t="inlineStr">
        <is>
          <t>2026-05-23</t>
        </is>
      </c>
      <c r="P29" s="2" t="inlineStr">
        <is>
          <t>2026-05-23</t>
        </is>
      </c>
    </row>
    <row r="30" ht="40" customHeight="1">
      <c r="A30" s="2" t="inlineStr">
        <is>
          <t>ISSUE-029</t>
        </is>
      </c>
      <c r="B30" s="2" t="inlineStr">
        <is>
          <t>UR-008 / UR-009 の要件性検討（NFR への再マップ）</t>
        </is>
      </c>
      <c r="C30" s="2"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2" t="inlineStr">
        <is>
          <t>設計</t>
        </is>
      </c>
      <c r="E30" s="4" t="inlineStr">
        <is>
          <t>中</t>
        </is>
      </c>
      <c r="F30" s="2" t="inlineStr">
        <is>
          <t>その他</t>
        </is>
      </c>
      <c r="G30" s="2" t="inlineStr"/>
      <c r="H30" s="2" t="inlineStr">
        <is>
          <t>2026-05-14</t>
        </is>
      </c>
      <c r="I30" s="2" t="inlineStr">
        <is>
          <t>URD</t>
        </is>
      </c>
      <c r="J30" s="2" t="inlineStr">
        <is>
          <t>SRS</t>
        </is>
      </c>
      <c r="K30" s="2" t="inlineStr">
        <is>
          <t>解決済</t>
        </is>
      </c>
      <c r="L30" s="2" t="inlineStr"/>
      <c r="M30" s="2"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N30" s="2"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O30" s="2" t="inlineStr">
        <is>
          <t>2026-05-24</t>
        </is>
      </c>
      <c r="P30" s="2" t="inlineStr">
        <is>
          <t>2026-05-24</t>
        </is>
      </c>
    </row>
    <row r="31" ht="40" customHeight="1">
      <c r="A31" s="2" t="inlineStr">
        <is>
          <t>ISSUE-030</t>
        </is>
      </c>
      <c r="B31" s="2" t="inlineStr">
        <is>
          <t>UR-006: 作業用 / 公開用 HTML の 2 層構造を URD に反映</t>
        </is>
      </c>
      <c r="C31" s="2"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2" t="inlineStr">
        <is>
          <t>改善</t>
        </is>
      </c>
      <c r="E31" s="5" t="inlineStr">
        <is>
          <t>低</t>
        </is>
      </c>
      <c r="F31" s="2" t="inlineStr">
        <is>
          <t>その他</t>
        </is>
      </c>
      <c r="G31" s="2" t="inlineStr"/>
      <c r="H31" s="2" t="inlineStr">
        <is>
          <t>2026-05-14</t>
        </is>
      </c>
      <c r="I31" s="2" t="inlineStr">
        <is>
          <t>URD</t>
        </is>
      </c>
      <c r="J31" s="2" t="inlineStr"/>
      <c r="K31" s="2" t="inlineStr">
        <is>
          <t>解決済</t>
        </is>
      </c>
      <c r="L31" s="2" t="inlineStr">
        <is>
          <t>Claude</t>
        </is>
      </c>
      <c r="M31" s="2" t="inlineStr">
        <is>
          <t>URD UR-006 の要件文または前提・制約に '作業用ビューア（山岳名入力・XLSX エクスポート）と公開用 HTML（閲覧専用）の 2 層構造' を反映する。</t>
        </is>
      </c>
      <c r="N31" s="2" t="inlineStr"/>
      <c r="O31" s="2" t="inlineStr">
        <is>
          <t>2026-05-23</t>
        </is>
      </c>
      <c r="P31" s="2" t="inlineStr">
        <is>
          <t>2026-05-23</t>
        </is>
      </c>
    </row>
    <row r="32" ht="40" customHeight="1">
      <c r="A32" s="6" t="inlineStr">
        <is>
          <t>ISSUE-031</t>
        </is>
      </c>
      <c r="B32" s="6" t="inlineStr">
        <is>
          <t>SRS: 各 UR に対する FR/NFR の対応漏れ調査と『対応 UR』記述の補完</t>
        </is>
      </c>
      <c r="C32" s="6"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6" t="inlineStr">
        <is>
          <t>調査</t>
        </is>
      </c>
      <c r="E32" s="3" t="inlineStr">
        <is>
          <t>高</t>
        </is>
      </c>
      <c r="F32" s="6" t="inlineStr">
        <is>
          <t>その他</t>
        </is>
      </c>
      <c r="G32" s="6" t="inlineStr"/>
      <c r="H32" s="6" t="inlineStr">
        <is>
          <t>2026-05-14</t>
        </is>
      </c>
      <c r="I32" s="6" t="inlineStr">
        <is>
          <t>SRS</t>
        </is>
      </c>
      <c r="J32" s="6" t="inlineStr">
        <is>
          <t>SRS</t>
        </is>
      </c>
      <c r="K32" s="6" t="inlineStr">
        <is>
          <t>未対応</t>
        </is>
      </c>
      <c r="L32" s="6" t="inlineStr"/>
      <c r="M32" s="6" t="inlineStr">
        <is>
          <t>(1) UR-001 〜 UR-010 を縦軸、現状の対応 FR/NFR を横軸に整理した一覧表を作成し漏れを抽出
(2) 漏れている対応関係を該当 FR / NFR の '対応 UR' フィールドに追記
(3) ISSUE-031（RTM）作成の前提データとして提供</t>
        </is>
      </c>
      <c r="N32" s="6" t="inlineStr">
        <is>
          <t>UR-009 削除・NFR-003 対応 UR を UR-004/005 に・NFR-007 対応 UR を UR-008 に振り替え済み（ISSUE-029 対応、2026-05-24）</t>
        </is>
      </c>
      <c r="O32" s="6" t="inlineStr"/>
      <c r="P32" s="6"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機能追加</t>
        </is>
      </c>
      <c r="E33" s="3" t="inlineStr">
        <is>
          <t>高</t>
        </is>
      </c>
      <c r="F33" s="7" t="inlineStr">
        <is>
          <t>その他</t>
        </is>
      </c>
      <c r="G33" s="7" t="inlineStr"/>
      <c r="H33" s="7" t="inlineStr">
        <is>
          <t>2026-05-14</t>
        </is>
      </c>
      <c r="I33" s="7" t="inlineStr">
        <is>
          <t>SRS</t>
        </is>
      </c>
      <c r="J33" s="7" t="inlineStr">
        <is>
          <t>SRS</t>
        </is>
      </c>
      <c r="K33" s="7" t="inlineStr">
        <is>
          <t>未対応</t>
        </is>
      </c>
      <c r="L33" s="7" t="inlineStr"/>
      <c r="M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N33" s="7" t="inlineStr"/>
      <c r="O33" s="7" t="inlineStr"/>
      <c r="P33" s="7"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c r="K34" s="2" t="inlineStr">
        <is>
          <t>解決済</t>
        </is>
      </c>
      <c r="L34" s="2" t="inlineStr"/>
      <c r="M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N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ADR-SRS-004（決定日 2026-05-18 追記）を参照。
関連 commit: 8f273a8（暫定・却下）→ 282f427（確定）</t>
        </is>
      </c>
      <c r="O34" s="2" t="inlineStr">
        <is>
          <t>2026-05-18</t>
        </is>
      </c>
      <c r="P34" s="2" t="inlineStr">
        <is>
          <t>2026-05-19</t>
        </is>
      </c>
    </row>
    <row r="35" ht="40" customHeight="1">
      <c r="A35" s="2" t="inlineStr">
        <is>
          <t>ISSUE-034</t>
        </is>
      </c>
      <c r="B35" s="2" t="inlineStr">
        <is>
          <t>tracker: ISSUE-018 の resolution 文を実装実態（案 B 採用）に合わせて更新</t>
        </is>
      </c>
      <c r="C35" s="2" t="inlineStr">
        <is>
          <t>ISSUE-018 の resolution 文に「案A（peak も dominant に昇格）または案B…から選定」と書かれているが、実装方針は案 B（peak 昇格なし）で確定済み（SRS L336 / ADR-SRS-008 L29）。後から履歴を辿る際の誤読防止のため、resolution 文を案 B 採用前提の記述に更新する。</t>
        </is>
      </c>
      <c r="D35" s="2" t="inlineStr">
        <is>
          <t>改善</t>
        </is>
      </c>
      <c r="E35" s="5" t="inlineStr">
        <is>
          <t>低</t>
        </is>
      </c>
      <c r="F35" s="2" t="inlineStr">
        <is>
          <t>その他</t>
        </is>
      </c>
      <c r="G35" s="2" t="inlineStr"/>
      <c r="H35" s="2" t="inlineStr">
        <is>
          <t>2026-05-17</t>
        </is>
      </c>
      <c r="I35" s="2" t="inlineStr"/>
      <c r="J35" s="2" t="inlineStr"/>
      <c r="K35" s="2" t="inlineStr">
        <is>
          <t>解決済</t>
        </is>
      </c>
      <c r="L35" s="2" t="inlineStr">
        <is>
          <t>Claude</t>
        </is>
      </c>
      <c r="M35" s="2" t="inlineStr">
        <is>
          <t>tracker のレコード編集機能で ISSUE-018 の resolution フィールドを書き換え、「案 B（peak.match_status は変更せず、summit.dominant_peak_code で紐付けのみ）を採用」と明記する。</t>
        </is>
      </c>
      <c r="N35" s="2" t="inlineStr"/>
      <c r="O35" s="2" t="inlineStr">
        <is>
          <t>2026-05-23</t>
        </is>
      </c>
      <c r="P35" s="2" t="inlineStr">
        <is>
          <t>2026-05-23</t>
        </is>
      </c>
    </row>
    <row r="36" ht="40" customHeight="1">
      <c r="A36" s="2" t="inlineStr">
        <is>
          <t>ISSUE-035</t>
        </is>
      </c>
      <c r="B36" s="2" t="inlineStr">
        <is>
          <t>SRS: 竹島除外方針の記述追加・ADR-URD-009 リンク</t>
        </is>
      </c>
      <c r="C36" s="2" t="inlineStr">
        <is>
          <t>URD UR-001・ADR-URD-009 に竹島除外方針を追加済み。SRS の前提・制約・スコープ外・FR-003 関連箇所に竹島の記述を追加し、ADR-URD-009 へのリンクを貼る。北方領土の記述（ADR-URD-005 参照）に準じた形で記載すること。</t>
        </is>
      </c>
      <c r="D36" s="2" t="inlineStr"/>
      <c r="E36" s="4" t="inlineStr">
        <is>
          <t>中</t>
        </is>
      </c>
      <c r="F36" s="2" t="inlineStr"/>
      <c r="G36" s="2" t="inlineStr"/>
      <c r="H36" s="2" t="inlineStr">
        <is>
          <t>2026-05-17</t>
        </is>
      </c>
      <c r="I36" s="2" t="inlineStr">
        <is>
          <t>SRS</t>
        </is>
      </c>
      <c r="J36" s="2" t="inlineStr"/>
      <c r="K36" s="2" t="inlineStr">
        <is>
          <t>解決済</t>
        </is>
      </c>
      <c r="L36" s="2" t="inlineStr">
        <is>
          <t>Claude</t>
        </is>
      </c>
      <c r="M36" s="2" t="inlineStr">
        <is>
          <t>北方領土の記述（ADR-URD-005 参照）に準じて以下3箇所に竹島の記述を追加する:
(1) 8.前提・制約（877行目）: 北方領土の記述の直後に「竹島（島根県）が含まれるメッシュ 5531 は mesh_list_japan.txt から除外済み（ADR-URD-009 参照）」を追加
(2) 9.スコープ外（892行目）: 北方領土の行の直後に「竹島に所在するピーク（韓国 SOTA サミット HL/GB-430 として登録済み。SOTA 日本支部の管轄外のため。除外方法は ADR-URD-009 で規定）」を追加
(3) FR-003（202行目付近）: 北方領土タイル除外の記述の後に「竹島はメッシュ除外（ADR-URD-009）で対応するため FR-003 での追加処理はない」旨を注記</t>
        </is>
      </c>
      <c r="N36" s="2" t="inlineStr"/>
      <c r="O36" s="2" t="inlineStr">
        <is>
          <t>2026-05-23</t>
        </is>
      </c>
      <c r="P36" s="2" t="inlineStr">
        <is>
          <t>2026-05-23</t>
        </is>
      </c>
    </row>
    <row r="37" ht="40" customHeight="1">
      <c r="A37" s="2" t="inlineStr">
        <is>
          <t>ISSUE-036</t>
        </is>
      </c>
      <c r="B37" s="2" t="inlineStr">
        <is>
          <t>COD: mesh_list_japan.txt からメッシュ 5531（竹島）を削除</t>
        </is>
      </c>
      <c r="C37" s="2" t="inlineStr">
        <is>
          <t>ADR-URD-009 の決定に基づく実装。params/mesh_list_japan.txt から 5531 を1行削除する。竹島（HL/GB-430）は韓国 SOTA サミットであり SOTA 日本支部の管轄外。除外根拠: docs/decisions/ADR-URD-009-takeshima-exclusion.md</t>
        </is>
      </c>
      <c r="D37" s="2" t="inlineStr"/>
      <c r="E37" s="4" t="inlineStr">
        <is>
          <t>中</t>
        </is>
      </c>
      <c r="F37" s="2" t="inlineStr"/>
      <c r="G37" s="2" t="inlineStr"/>
      <c r="H37" s="2" t="inlineStr">
        <is>
          <t>2026-05-17</t>
        </is>
      </c>
      <c r="I37" s="2" t="inlineStr">
        <is>
          <t>SRS</t>
        </is>
      </c>
      <c r="J37" s="2" t="inlineStr"/>
      <c r="K37" s="2" t="inlineStr">
        <is>
          <t>解決済</t>
        </is>
      </c>
      <c r="L37" s="2" t="inlineStr">
        <is>
          <t>Sonnet</t>
        </is>
      </c>
      <c r="M37" s="2" t="inlineStr">
        <is>
          <t>5531 を削除ではなくコメントアウト形式（# 5531 竹島のみのため除外（ADR-URD-009））で除外。理由と根拠が履歴として残る。main.c は # 始まり行をスキップ済みのため動作上の変更なし。</t>
        </is>
      </c>
      <c r="N37" s="2" t="inlineStr"/>
      <c r="O37" s="2" t="inlineStr">
        <is>
          <t>2026-05-23</t>
        </is>
      </c>
      <c r="P37" s="2" t="inlineStr">
        <is>
          <t>2026-05-23</t>
        </is>
      </c>
    </row>
    <row r="38" ht="40" customHeight="1">
      <c r="A38" s="6" t="inlineStr">
        <is>
          <t>ISSUE-037</t>
        </is>
      </c>
      <c r="B38" s="6" t="inlineStr">
        <is>
          <t>ADR-SRS-010 Phase 1: ビルド基盤 + elevation.c の C++/OpenCV 化（標高値同値性検証含む）</t>
        </is>
      </c>
      <c r="C38" s="6" t="inlineStr">
        <is>
          <t>ADR-SRS-010（C++/OpenCV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ADR-SRS-010 docs/decisions/ADR-SRS-010-cpp-opencv-migration.md
- 検討資料 docs/decisions/research/cpp-opencv-migration-research.md（§3 同値性検証手順、§6 ビルド基盤変更）</t>
        </is>
      </c>
      <c r="D38" s="6" t="inlineStr">
        <is>
          <t>改善</t>
        </is>
      </c>
      <c r="E38" s="3" t="inlineStr">
        <is>
          <t>高</t>
        </is>
      </c>
      <c r="F38" s="6" t="inlineStr">
        <is>
          <t>解析エンジン</t>
        </is>
      </c>
      <c r="G38" s="6" t="inlineStr">
        <is>
          <t>JJ1XGO</t>
        </is>
      </c>
      <c r="H38" s="6" t="inlineStr">
        <is>
          <t>2026-05-17</t>
        </is>
      </c>
      <c r="I38" s="6" t="inlineStr">
        <is>
          <t>SRS</t>
        </is>
      </c>
      <c r="J38" s="6" t="inlineStr">
        <is>
          <t>LLD</t>
        </is>
      </c>
      <c r="K38" s="6" t="inlineStr">
        <is>
          <t>未対応</t>
        </is>
      </c>
      <c r="L38" s="6" t="inlineStr">
        <is>
          <t>Sonnet</t>
        </is>
      </c>
      <c r="M38" s="6" t="inlineStr"/>
      <c r="N38" s="6" t="inlineStr"/>
      <c r="O38" s="6" t="inlineStr"/>
      <c r="P38" s="6" t="inlineStr"/>
    </row>
    <row r="39" ht="40" customHeight="1">
      <c r="A39" s="7" t="inlineStr">
        <is>
          <t>ISSUE-038</t>
        </is>
      </c>
      <c r="B39" s="7" t="inlineStr">
        <is>
          <t>ADR-SRS-010 Phase 2: 残り src/ の C++ 翻訳（mesh / unionfind / analyze / mesh_analyze / main / tests）</t>
        </is>
      </c>
      <c r="C39" s="7" t="inlineStr">
        <is>
          <t>ADR-SRS-010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ADR-SRS-010 docs/decisions/ADR-SRS-010-cpp-opencv-migration.md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LLD</t>
        </is>
      </c>
      <c r="K39" s="7" t="inlineStr">
        <is>
          <t>未対応</t>
        </is>
      </c>
      <c r="L39" s="7" t="inlineStr">
        <is>
          <t>Sonnet</t>
        </is>
      </c>
      <c r="M39" s="7" t="inlineStr"/>
      <c r="N39" s="7" t="inlineStr"/>
      <c r="O39" s="7" t="inlineStr"/>
      <c r="P39" s="7" t="inlineStr"/>
    </row>
    <row r="40" ht="40" customHeight="1">
      <c r="A40" s="6" t="inlineStr">
        <is>
          <t>ISSUE-039</t>
        </is>
      </c>
      <c r="B40" s="6" t="inlineStr">
        <is>
          <t>ADR-SRS-010 Phase 3: FR-015 標高地形図出力の OpenCV 化</t>
        </is>
      </c>
      <c r="C40" s="6" t="inlineStr">
        <is>
          <t>ADR-SRS-010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ADR-SRS-010 docs/decisions/ADR-SRS-010-cpp-opencv-migration.md
- SRS 6.7 標高地形図（Terrain-RGB PNG）</t>
        </is>
      </c>
      <c r="D40" s="6" t="inlineStr">
        <is>
          <t>改善</t>
        </is>
      </c>
      <c r="E40" s="4" t="inlineStr">
        <is>
          <t>中</t>
        </is>
      </c>
      <c r="F40" s="6" t="inlineStr">
        <is>
          <t>解析エンジン</t>
        </is>
      </c>
      <c r="G40" s="6" t="inlineStr">
        <is>
          <t>JJ1XGO</t>
        </is>
      </c>
      <c r="H40" s="6" t="inlineStr">
        <is>
          <t>2026-05-17</t>
        </is>
      </c>
      <c r="I40" s="6" t="inlineStr">
        <is>
          <t>SRS</t>
        </is>
      </c>
      <c r="J40" s="6" t="inlineStr">
        <is>
          <t>LLD</t>
        </is>
      </c>
      <c r="K40" s="6" t="inlineStr">
        <is>
          <t>未対応</t>
        </is>
      </c>
      <c r="L40" s="6" t="inlineStr">
        <is>
          <t>Sonnet</t>
        </is>
      </c>
      <c r="M40" s="6" t="inlineStr"/>
      <c r="N40" s="6" t="inlineStr"/>
      <c r="O40" s="6" t="inlineStr"/>
      <c r="P40" s="6" t="inlineStr"/>
    </row>
    <row r="41" ht="40" customHeight="1">
      <c r="A41" s="7" t="inlineStr">
        <is>
          <t>ISSUE-040</t>
        </is>
      </c>
      <c r="B41" s="7" t="inlineStr">
        <is>
          <t>ADR-SRS-010 Phase 4: FR-016 アクティベーションゾーン計算（C++/OpenCV 新規実装）</t>
        </is>
      </c>
      <c r="C41" s="7" t="inlineStr">
        <is>
          <t>ADR-SRS-010 Phase 4: FR-016（ピーク域ポリゴン計算）を C++ + OpenCV で新規実装する。AZ ポリゴンと delete判定ゾーンポリゴン（ADR-SRS-011）の 2 種類を per-mesh GeoJSON に出力する。詳細は notes 欄参照。</t>
        </is>
      </c>
      <c r="D41" s="7" t="inlineStr">
        <is>
          <t>機能追加</t>
        </is>
      </c>
      <c r="E41" s="3" t="inlineStr">
        <is>
          <t>高</t>
        </is>
      </c>
      <c r="F41" s="7" t="inlineStr">
        <is>
          <t>解析エンジン</t>
        </is>
      </c>
      <c r="G41" s="7" t="inlineStr">
        <is>
          <t>JJ1XGO</t>
        </is>
      </c>
      <c r="H41" s="7" t="inlineStr">
        <is>
          <t>2026-05-17</t>
        </is>
      </c>
      <c r="I41" s="7" t="inlineStr">
        <is>
          <t>SRS</t>
        </is>
      </c>
      <c r="J41" s="7" t="inlineStr">
        <is>
          <t>LLD</t>
        </is>
      </c>
      <c r="K41" s="7" t="inlineStr">
        <is>
          <t>未対応</t>
        </is>
      </c>
      <c r="L41" s="7" t="inlineStr">
        <is>
          <t>Sonnet</t>
        </is>
      </c>
      <c r="M41" s="7" t="inlineStr"/>
      <c r="N41" s="7" t="inlineStr">
        <is>
          <t>【ADR-SRS-011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250m、ADR-SRS-011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ADR-SRS-010 docs/decisions/ADR-SRS-010-cpp-opencv-migration.md
- ADR-SRS-011 docs/decisions/ADR-SRS-011-delete-zone-polygon.md（新仕様）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O41" s="7" t="inlineStr"/>
      <c r="P41" s="7" t="inlineStr"/>
    </row>
    <row r="42" ht="40" customHeight="1">
      <c r="A42" s="2" t="inlineStr">
        <is>
          <t>ISSUE-041</t>
        </is>
      </c>
      <c r="B42" s="2" t="inlineStr">
        <is>
          <t>実装側のフラグ命名追従（is_tile_top → key_col_resolved + 真偽値反転）</t>
        </is>
      </c>
      <c r="C42" s="2"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ADR-SRS-010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2" t="inlineStr">
        <is>
          <t>改善</t>
        </is>
      </c>
      <c r="E42" s="4" t="inlineStr">
        <is>
          <t>中</t>
        </is>
      </c>
      <c r="F42" s="2" t="inlineStr">
        <is>
          <t>その他</t>
        </is>
      </c>
      <c r="G42" s="2" t="inlineStr"/>
      <c r="H42" s="2" t="inlineStr">
        <is>
          <t>2026-05-19</t>
        </is>
      </c>
      <c r="I42" s="2" t="inlineStr">
        <is>
          <t>SRS</t>
        </is>
      </c>
      <c r="J42" s="2" t="inlineStr">
        <is>
          <t>COD</t>
        </is>
      </c>
      <c r="K42" s="2" t="inlineStr">
        <is>
          <t>却下</t>
        </is>
      </c>
      <c r="L42" s="2" t="inlineStr">
        <is>
          <t>Sonnet</t>
        </is>
      </c>
      <c r="M42" s="2" t="inlineStr"/>
      <c r="N42" s="2"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(ADR-SRS-010 Phase 1): elevation.c の C++/OpenCV 化
- ISSUE-038 (ADR-SRS-010 Phase 2): 残り src/ の C++ 翻訳
- ISSUE-040 (ADR-SRS-010 Phase 4): FR-016 (area_complete を含む) C++ 新規実装</t>
        </is>
      </c>
      <c r="O42" s="2" t="inlineStr"/>
      <c r="P42" s="2" t="inlineStr">
        <is>
          <t>2026-06-07</t>
        </is>
      </c>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4" t="inlineStr">
        <is>
          <t>中</t>
        </is>
      </c>
      <c r="F43" s="7" t="inlineStr">
        <is>
          <t>その他</t>
        </is>
      </c>
      <c r="G43" s="7" t="inlineStr">
        <is>
          <t>ユーザー</t>
        </is>
      </c>
      <c r="H43" s="7" t="inlineStr">
        <is>
          <t>2026-05-20</t>
        </is>
      </c>
      <c r="I43" s="7" t="inlineStr">
        <is>
          <t>SRS</t>
        </is>
      </c>
      <c r="J43" s="7" t="inlineStr">
        <is>
          <t>HLD</t>
        </is>
      </c>
      <c r="K43" s="7" t="inlineStr">
        <is>
          <t>未対応</t>
        </is>
      </c>
      <c r="L43" s="7" t="inlineStr"/>
      <c r="M43" s="7" t="inlineStr"/>
      <c r="N43" s="7" t="inlineStr">
        <is>
          <t>ISSUE-019 のクローズ時にユーザーから登録要望が出た案件。</t>
        </is>
      </c>
      <c r="O43" s="7" t="inlineStr"/>
      <c r="P43" s="7" t="inlineStr"/>
    </row>
    <row r="44" ht="40" customHeight="1">
      <c r="A44" s="6" t="inlineStr">
        <is>
          <t>ISSUE-043</t>
        </is>
      </c>
      <c r="B44" s="6" t="inlineStr">
        <is>
          <t>merge.py: delete判定ゾーン対応（AZ/delete-zone PIP、不備フラグ列、exit code、dominant 改名）</t>
        </is>
      </c>
      <c r="C44" s="6" t="inlineStr">
        <is>
          <t>ADR-SRS-011（delete判定ゾーンポリゴン）採用に伴う merge.py の改修。SRS FR-009 / ADR-URD-007 / ADR-SRS-008 / ADR-SRS-011 の仕様を実装に反映する。</t>
        </is>
      </c>
      <c r="D44" s="6" t="inlineStr">
        <is>
          <t>改善</t>
        </is>
      </c>
      <c r="E44" s="3" t="inlineStr">
        <is>
          <t>高</t>
        </is>
      </c>
      <c r="F44" s="6" t="inlineStr">
        <is>
          <t>merge.py</t>
        </is>
      </c>
      <c r="G44" s="6" t="inlineStr">
        <is>
          <t>JJ1XGO</t>
        </is>
      </c>
      <c r="H44" s="6" t="inlineStr">
        <is>
          <t>2026-05-21</t>
        </is>
      </c>
      <c r="I44" s="6" t="inlineStr">
        <is>
          <t>SRS</t>
        </is>
      </c>
      <c r="J44" s="6" t="inlineStr">
        <is>
          <t>LLD</t>
        </is>
      </c>
      <c r="K44" s="6" t="inlineStr">
        <is>
          <t>未対応</t>
        </is>
      </c>
      <c r="L44" s="6" t="inlineStr"/>
      <c r="M44" s="6" t="inlineStr"/>
      <c r="N44" s="6" t="inlineStr">
        <is>
          <t>【ADR-SRS-013 採用後のスコープ再評価が必要】merged.geojson が中心成果物となったため、merge.py が GeoJSON を直接出力するか・output_geojson.py との責務分担を本 SRS 改訂後に決定する。</t>
        </is>
      </c>
      <c r="O44" s="6" t="inlineStr"/>
      <c r="P44" s="6" t="inlineStr"/>
    </row>
    <row r="45" ht="40" customHeight="1">
      <c r="A45" s="7" t="inlineStr">
        <is>
          <t>ISSUE-044</t>
        </is>
      </c>
      <c r="B45" s="7" t="inlineStr">
        <is>
          <t>output_geojson.py: delete判定ゾーン対応 + merged_viewer.html 実装</t>
        </is>
      </c>
      <c r="C45" s="7" t="inlineStr">
        <is>
          <t>ADR-SRS-011 採用に伴う output_geojson.py の改修と、SRS FR-013 で要求済みだが未実装の merged_viewer.html 出力を追加する。</t>
        </is>
      </c>
      <c r="D45" s="7" t="inlineStr">
        <is>
          <t>機能追加</t>
        </is>
      </c>
      <c r="E45" s="3" t="inlineStr">
        <is>
          <t>高</t>
        </is>
      </c>
      <c r="F45" s="7" t="inlineStr">
        <is>
          <t>GeoJSON出力</t>
        </is>
      </c>
      <c r="G45" s="7" t="inlineStr">
        <is>
          <t>JJ1XGO</t>
        </is>
      </c>
      <c r="H45" s="7" t="inlineStr">
        <is>
          <t>2026-05-21</t>
        </is>
      </c>
      <c r="I45" s="7" t="inlineStr">
        <is>
          <t>SRS</t>
        </is>
      </c>
      <c r="J45" s="7" t="inlineStr">
        <is>
          <t>LLD</t>
        </is>
      </c>
      <c r="K45" s="7" t="inlineStr">
        <is>
          <t>未対応</t>
        </is>
      </c>
      <c r="L45" s="7" t="inlineStr"/>
      <c r="M45" s="7" t="inlineStr"/>
      <c r="N45" s="7" t="inlineStr">
        <is>
          <t>【ADR-SRS-013 採用後のスコープ再評価が必要】merged.geojson が中心成果物となったため、output_geojson.py の責務（merged.csv + merged_activation.geojson → merged.geojson 統合）が変わる可能性あり。merge.py との責務分担を SRS 改訂後に決定する。</t>
        </is>
      </c>
      <c r="O45" s="7" t="inlineStr"/>
      <c r="P45" s="7" t="inlineStr"/>
    </row>
    <row r="46" ht="40" customHeight="1">
      <c r="A46" s="2" t="inlineStr">
        <is>
          <t>ISSUE-045</t>
        </is>
      </c>
      <c r="B46" s="2" t="inlineStr">
        <is>
          <t>params/config.ini.example: delete_zone_max_drop = 250 パラメータ追加</t>
        </is>
      </c>
      <c r="C46" s="2" t="inlineStr">
        <is>
          <t>ADR-SRS-011 で確定した delete_zone_max_drop（実測値 250m）を config.ini.example に記載し、ユーザー環境への展開を可能にする。</t>
        </is>
      </c>
      <c r="D46" s="2" t="inlineStr">
        <is>
          <t>改善</t>
        </is>
      </c>
      <c r="E46" s="4" t="inlineStr">
        <is>
          <t>中</t>
        </is>
      </c>
      <c r="F46" s="2" t="inlineStr">
        <is>
          <t>設定</t>
        </is>
      </c>
      <c r="G46" s="2" t="inlineStr">
        <is>
          <t>JJ1XGO</t>
        </is>
      </c>
      <c r="H46" s="2" t="inlineStr">
        <is>
          <t>2026-05-21</t>
        </is>
      </c>
      <c r="I46" s="2" t="inlineStr">
        <is>
          <t>SRS</t>
        </is>
      </c>
      <c r="J46" s="2" t="inlineStr">
        <is>
          <t>COD</t>
        </is>
      </c>
      <c r="K46" s="2" t="inlineStr">
        <is>
          <t>却下</t>
        </is>
      </c>
      <c r="L46" s="2" t="inlineStr"/>
      <c r="M46" s="2" t="inlineStr"/>
      <c r="N46" s="2" t="inlineStr">
        <is>
          <t>【作業範囲】
- params/config.ini.example の [analysis] セクション（または相当箇所）に delete_zone_max_drop = 250 を追加
- 値の根拠コメントとして ADR-SRS-011 を参照
- 既存のローカル params/config.ini（gitignore）は手動で同期する旨をユーザーに通知
【参照】
- ADR docs/decisions/ADR-SRS-011-delete-zone-polygon.md
- SRS FR-016
【元 ISSUE】ISSUE-020 から分離</t>
        </is>
      </c>
      <c r="O46" s="2" t="inlineStr"/>
      <c r="P46" s="2" t="inlineStr">
        <is>
          <t>2026-06-07</t>
        </is>
      </c>
    </row>
    <row r="47" ht="40" customHeight="1">
      <c r="A47" s="2" t="inlineStr">
        <is>
          <t>ISSUE-046</t>
        </is>
      </c>
      <c r="B47" s="2" t="inlineStr">
        <is>
          <t>SRS: 変更申請判定を Points バンド遷移基準に変更（URD/SRS/GLOSSARY 改訂）</t>
        </is>
      </c>
      <c r="C47" s="2" t="inlineStr">
        <is>
          <t>SOTA 申請「変更」の定義を「山岳名の変更」から「matched ペアで Points バンドをまたぐ標高差があるケース（is_band_change_candidate=true）」に再定義。山岳名変更は申請対象外（ピーク解析と無関係）。URD UR-003・6.スコープ外、SRS FR-007/009/011/012/013・9.スコープ外、GLOSSARY（標高バンド表追加）、ref/SOURCES.md を改訂。ISSUE-025（標高バンド境界値の規定）を本タスクに統合。</t>
        </is>
      </c>
      <c r="D47" s="2" t="inlineStr">
        <is>
          <t>設計</t>
        </is>
      </c>
      <c r="E47" s="3" t="inlineStr">
        <is>
          <t>高</t>
        </is>
      </c>
      <c r="F47" s="2" t="inlineStr">
        <is>
          <t>その他</t>
        </is>
      </c>
      <c r="G47" s="2" t="inlineStr">
        <is>
          <t>JJ1XGO</t>
        </is>
      </c>
      <c r="H47" s="2" t="inlineStr">
        <is>
          <t>2026-05-22</t>
        </is>
      </c>
      <c r="I47" s="2" t="inlineStr">
        <is>
          <t>SRS</t>
        </is>
      </c>
      <c r="J47" s="2" t="inlineStr"/>
      <c r="K47" s="2" t="inlineStr">
        <is>
          <t>解決済</t>
        </is>
      </c>
      <c r="L47" s="2" t="inlineStr"/>
      <c r="M47" s="2" t="inlineStr"/>
      <c r="N47" s="2" t="inlineStr"/>
      <c r="O47" s="2" t="inlineStr">
        <is>
          <t>2026-05-22</t>
        </is>
      </c>
      <c r="P47" s="2" t="inlineStr">
        <is>
          <t>2026-05-22</t>
        </is>
      </c>
    </row>
    <row r="48" ht="40" customHeight="1">
      <c r="A48" s="2" t="inlineStr">
        <is>
          <t>ISSUE-047</t>
        </is>
      </c>
      <c r="B48" s="2" t="inlineStr">
        <is>
          <t>SRS フェーズ1機能関連図：FR-002/003 を FR-001 の箱から除去</t>
        </is>
      </c>
      <c r="C48" s="2" t="inlineStr">
        <is>
          <t>phase1.drawio で FR-002（DEM 階層フォールバック）と FR-003（標高デコード・NODATA 処理）を FR-001 の箱の中に描いていたが、両者はフェーズ2の処理と判断し SRS を修正済み。drawio 上の図もこれに合わせて修正する必要がある。</t>
        </is>
      </c>
      <c r="D48" s="2" t="inlineStr">
        <is>
          <t>改善</t>
        </is>
      </c>
      <c r="E48" s="4" t="inlineStr">
        <is>
          <t>中</t>
        </is>
      </c>
      <c r="F48" s="2" t="inlineStr">
        <is>
          <t>その他</t>
        </is>
      </c>
      <c r="G48" s="2" t="inlineStr"/>
      <c r="H48" s="2" t="inlineStr">
        <is>
          <t>2026-05-22</t>
        </is>
      </c>
      <c r="I48" s="2" t="inlineStr">
        <is>
          <t>SRS</t>
        </is>
      </c>
      <c r="J48" s="2" t="inlineStr"/>
      <c r="K48" s="2" t="inlineStr">
        <is>
          <t>解決済</t>
        </is>
      </c>
      <c r="L48" s="2" t="inlineStr"/>
      <c r="M48" s="2" t="inlineStr">
        <is>
          <t>drawio で FR-002/FR-003 のボックスを FR-001 の外に移動し、SVG を再エクスポートして docs/figures/ を更新する</t>
        </is>
      </c>
      <c r="N48" s="2" t="inlineStr"/>
      <c r="O48" s="2" t="inlineStr">
        <is>
          <t>2026-05-22</t>
        </is>
      </c>
      <c r="P48" s="2" t="inlineStr">
        <is>
          <t>2026-05-22</t>
        </is>
      </c>
    </row>
    <row r="49" ht="40" customHeight="1">
      <c r="A49" s="2" t="inlineStr">
        <is>
          <t>ISSUE-048</t>
        </is>
      </c>
      <c r="B49" s="2" t="inlineStr">
        <is>
          <t>SRS 3.1 システムコンテキスト図の新規作成</t>
        </is>
      </c>
      <c r="C49" s="2" t="inlineStr">
        <is>
          <t>SRS 3章「3.1 システムコンテキスト」にコンテキスト図（外部アクター・データソース・成果物の境界図）を追加する。現在はプレースホルダー注記のみ。外部要素: 国土地理院標高タイル / 国土交通省N03 / SOTA summitslist.csv / 申請担当者 / SOTA日本支部マネージャ。成果物: 申請書XLSX / エビデンスCSV / 証跡GeoJSON。</t>
        </is>
      </c>
      <c r="D49" s="2" t="inlineStr">
        <is>
          <t>機能追加</t>
        </is>
      </c>
      <c r="E49" s="4" t="inlineStr">
        <is>
          <t>中</t>
        </is>
      </c>
      <c r="F49" s="2" t="inlineStr">
        <is>
          <t>その他</t>
        </is>
      </c>
      <c r="G49" s="2" t="inlineStr"/>
      <c r="H49" s="2" t="inlineStr">
        <is>
          <t>2026-05-22</t>
        </is>
      </c>
      <c r="I49" s="2" t="inlineStr">
        <is>
          <t>SRS</t>
        </is>
      </c>
      <c r="J49" s="2" t="inlineStr"/>
      <c r="K49" s="2" t="inlineStr">
        <is>
          <t>解決済</t>
        </is>
      </c>
      <c r="L49" s="2" t="inlineStr"/>
      <c r="M49" s="2" t="inlineStr">
        <is>
          <t>drawio でコンテキスト図を作成し、docs/figures/context.drawio.svg として保存。SRS 3.1 のプレースホルダーを図参照に置き換えてコミット</t>
        </is>
      </c>
      <c r="N49" s="2" t="inlineStr"/>
      <c r="O49" s="2" t="inlineStr">
        <is>
          <t>2026-05-22</t>
        </is>
      </c>
      <c r="P49" s="2" t="inlineStr">
        <is>
          <t>2026-05-22</t>
        </is>
      </c>
    </row>
    <row r="50" ht="40" customHeight="1">
      <c r="A50" s="2" t="inlineStr">
        <is>
          <t>ISSUE-049</t>
        </is>
      </c>
      <c r="B50" s="2" t="inlineStr">
        <is>
          <t>SRS 3.3 フェーズ俯瞰図の新規作成</t>
        </is>
      </c>
      <c r="C50" s="2" t="inlineStr">
        <is>
          <t>SRS 3章「3.3 フェーズ分割の俯瞰」にフェーズ俯瞰図（フェーズ1〜4の関係性を示す図）を追加する。現在はプレースホルダー注記とテキストフローのみ。各フェーズの入出力ファイルと依存関係を視覚化する。</t>
        </is>
      </c>
      <c r="D50" s="2" t="inlineStr">
        <is>
          <t>機能追加</t>
        </is>
      </c>
      <c r="E50" s="5" t="inlineStr">
        <is>
          <t>低</t>
        </is>
      </c>
      <c r="F50" s="2" t="inlineStr">
        <is>
          <t>その他</t>
        </is>
      </c>
      <c r="G50" s="2" t="inlineStr"/>
      <c r="H50" s="2" t="inlineStr">
        <is>
          <t>2026-05-22</t>
        </is>
      </c>
      <c r="I50" s="2" t="inlineStr">
        <is>
          <t>SRS</t>
        </is>
      </c>
      <c r="J50" s="2" t="inlineStr"/>
      <c r="K50" s="2" t="inlineStr">
        <is>
          <t>解決済</t>
        </is>
      </c>
      <c r="L50" s="2" t="inlineStr"/>
      <c r="M50" s="2" t="inlineStr">
        <is>
          <t>drawio でフェーズ俯瞰図を作成し、docs/figures/phases_overview.drawio.svg として保存。SRS 3.3 のプレースホルダーを図参照に置き換えてコミット</t>
        </is>
      </c>
      <c r="N50" s="2" t="inlineStr"/>
      <c r="O50" s="2" t="inlineStr">
        <is>
          <t>2026-05-22</t>
        </is>
      </c>
      <c r="P50" s="2" t="inlineStr">
        <is>
          <t>2026-05-22</t>
        </is>
      </c>
    </row>
    <row r="51" ht="40" customHeight="1">
      <c r="A51" s="2" t="inlineStr">
        <is>
          <t>ISSUE-050</t>
        </is>
      </c>
      <c r="B51" s="2" t="inlineStr">
        <is>
          <t>SRS フェーズ2/3/3.5/4 機能関連図の新規作成</t>
        </is>
      </c>
      <c r="C51" s="2" t="inlineStr">
        <is>
          <t>SRS 4章の各フェーズ節冒頭に機能関連図を追加する。フェーズ2（ピーク解析: FR-002/003/004/005/006/007/015/016）、フェーズ3（ピーク統合: FR-008/018）、フェーズ3.5（独立峰対応: FR-014）、フェーズ4（突合・出力: FR-009/010/011/012/013）の各図。フェーズ1機能関連図（phase1.drawio.svg）を参考に作成する。</t>
        </is>
      </c>
      <c r="D51" s="2" t="inlineStr">
        <is>
          <t>機能追加</t>
        </is>
      </c>
      <c r="E51" s="5" t="inlineStr">
        <is>
          <t>低</t>
        </is>
      </c>
      <c r="F51" s="2" t="inlineStr">
        <is>
          <t>その他</t>
        </is>
      </c>
      <c r="G51" s="2" t="inlineStr">
        <is>
          <t>Claude</t>
        </is>
      </c>
      <c r="H51" s="2" t="inlineStr">
        <is>
          <t>2026-05-22</t>
        </is>
      </c>
      <c r="I51" s="2" t="inlineStr">
        <is>
          <t>SRS</t>
        </is>
      </c>
      <c r="J51" s="2" t="inlineStr"/>
      <c r="K51" s="2" t="inlineStr">
        <is>
          <t>解決済</t>
        </is>
      </c>
      <c r="L51" s="2" t="inlineStr">
        <is>
          <t>JJ1XGO</t>
        </is>
      </c>
      <c r="M51" s="2" t="inlineStr">
        <is>
          <t>drawio で各フェーズの機能関連図を作成し、docs/figures/phase2.drawio.svg 等として保存。SRS の各フェーズ節冒頭に図参照を追加してコミット</t>
        </is>
      </c>
      <c r="N51" s="2" t="inlineStr">
        <is>
          <t>【本日の決定事項】フェーズ別機能関連図（phase2〜4）の個別作成は中止し、phases_overview.drawio.svg（フェーズ俯瞰図）で代替する方針を確定。フェーズ1の機能関連図（phase1.drawio.svg）もSRSの参照削除済み（commit 12e2a45）のうえファイル削除。俯瞰図はフェーズ3出力ラベルをmerged_activation.geojsonに修正（SRS FR-018と整合）し、誤字「見つらない→見つからない」も修正してcommit ca09554でコミット済み。</t>
        </is>
      </c>
      <c r="O51" s="2" t="inlineStr">
        <is>
          <t>2026-05-23</t>
        </is>
      </c>
      <c r="P51" s="2" t="inlineStr">
        <is>
          <t>2026-05-23</t>
        </is>
      </c>
    </row>
    <row r="52" ht="40" customHeight="1">
      <c r="A52" s="2" t="inlineStr">
        <is>
          <t>ISSUE-051</t>
        </is>
      </c>
      <c r="B52" s="2" t="inlineStr">
        <is>
          <t>SRS フェーズ3（FR-014）: area_complete=false トリガー外しの重複記述整理</t>
        </is>
      </c>
      <c r="C52" s="2" t="inlineStr">
        <is>
          <t>SRS フェーズ3.5 セクション冒頭と FR-014 トリガー条件で area_complete=false トリガー対象外の説明が2箇所に重複している。整理して片方に集約することで保守性を上げる。対象: L327-330 周辺と L336-338 周辺。</t>
        </is>
      </c>
      <c r="D52" s="2" t="inlineStr">
        <is>
          <t>改善</t>
        </is>
      </c>
      <c r="E52" s="5" t="inlineStr">
        <is>
          <t>低</t>
        </is>
      </c>
      <c r="F52" s="2" t="inlineStr"/>
      <c r="G52" s="2" t="inlineStr"/>
      <c r="H52" s="2" t="inlineStr">
        <is>
          <t>2026-05-23</t>
        </is>
      </c>
      <c r="I52" s="2" t="inlineStr">
        <is>
          <t>SRS</t>
        </is>
      </c>
      <c r="J52" s="2" t="inlineStr">
        <is>
          <t>SRS</t>
        </is>
      </c>
      <c r="K52" s="2" t="inlineStr">
        <is>
          <t>解決済</t>
        </is>
      </c>
      <c r="L52" s="2" t="inlineStr"/>
      <c r="M52" s="2" t="inlineStr"/>
      <c r="N52" s="2" t="inlineStr"/>
      <c r="O52" s="2" t="inlineStr">
        <is>
          <t>2026-06-12</t>
        </is>
      </c>
      <c r="P52" s="2" t="inlineStr">
        <is>
          <t>2026-06-13</t>
        </is>
      </c>
    </row>
    <row r="53" ht="40" customHeight="1">
      <c r="A53" s="2" t="inlineStr">
        <is>
          <t>ISSUE-052</t>
        </is>
      </c>
      <c r="B53" s="2" t="inlineStr">
        <is>
          <t>SRS FR-014: key_col_resolved=false と独立峰の対応関係を明示</t>
        </is>
      </c>
      <c r="C53" s="2" t="inlineStr">
        <is>
          <t>SRS FR-014 のトリガー条件周辺（L335-336 周辺）に「key_col_resolved=false = Key コルが 3×3 解析範囲外にある独立峰」という対応関係を注記として追加する。読者がコンテキストなしでトリガー条件の意味を理解できるようにする。</t>
        </is>
      </c>
      <c r="D53" s="2" t="inlineStr">
        <is>
          <t>改善</t>
        </is>
      </c>
      <c r="E53" s="5" t="inlineStr">
        <is>
          <t>低</t>
        </is>
      </c>
      <c r="F53" s="2" t="inlineStr"/>
      <c r="G53" s="2" t="inlineStr"/>
      <c r="H53" s="2" t="inlineStr">
        <is>
          <t>2026-05-23</t>
        </is>
      </c>
      <c r="I53" s="2" t="inlineStr">
        <is>
          <t>SRS</t>
        </is>
      </c>
      <c r="J53" s="2" t="inlineStr">
        <is>
          <t>SRS</t>
        </is>
      </c>
      <c r="K53" s="2" t="inlineStr">
        <is>
          <t>解決済</t>
        </is>
      </c>
      <c r="L53" s="2" t="inlineStr"/>
      <c r="M53" s="2" t="inlineStr"/>
      <c r="N53" s="2" t="inlineStr"/>
      <c r="O53" s="2" t="inlineStr">
        <is>
          <t>2026-06-12</t>
        </is>
      </c>
      <c r="P53" s="2" t="inlineStr">
        <is>
          <t>2026-06-13</t>
        </is>
      </c>
    </row>
    <row r="54" ht="40" customHeight="1">
      <c r="A54" s="2" t="inlineStr">
        <is>
          <t>ISSUE-053</t>
        </is>
      </c>
      <c r="B54" s="2" t="inlineStr">
        <is>
          <t>docs/figures/context.drawio: ラベル大文字統一（xlsx→XLSX、csv→CSV）</t>
        </is>
      </c>
      <c r="C54" s="2" t="inlineStr">
        <is>
          <t>context.drawio 内のラベル表記ゆらぎを修正。「申請書 xlsx」→「申請書 XLSX」、「エビデンス csv」→「エビデンス CSV」に統一する。SVG エクスポートはユーザーが draw.io で対応。</t>
        </is>
      </c>
      <c r="D54" s="2" t="inlineStr">
        <is>
          <t>改善</t>
        </is>
      </c>
      <c r="E54" s="5" t="inlineStr">
        <is>
          <t>低</t>
        </is>
      </c>
      <c r="F54" s="2" t="inlineStr"/>
      <c r="G54" s="2" t="inlineStr"/>
      <c r="H54" s="2" t="inlineStr">
        <is>
          <t>2026-05-23</t>
        </is>
      </c>
      <c r="I54" s="2" t="inlineStr">
        <is>
          <t>SRS</t>
        </is>
      </c>
      <c r="J54" s="2" t="inlineStr">
        <is>
          <t>SRS</t>
        </is>
      </c>
      <c r="K54" s="2" t="inlineStr">
        <is>
          <t>却下</t>
        </is>
      </c>
      <c r="L54" s="2" t="inlineStr"/>
      <c r="M54" s="2" t="inlineStr"/>
      <c r="N54" s="2" t="inlineStr"/>
      <c r="O54" s="2" t="inlineStr"/>
      <c r="P54" s="2" t="inlineStr">
        <is>
          <t>2026-06-07</t>
        </is>
      </c>
    </row>
    <row r="55" ht="40" customHeight="1">
      <c r="A55" s="2" t="inlineStr">
        <is>
          <t>ISSUE-054</t>
        </is>
      </c>
      <c r="B55" s="2" t="inlineStr">
        <is>
          <t>モックアップ: 陸地最高峰ピークの専用表示追加</t>
        </is>
      </c>
      <c r="C55" s="2" t="inlineStr">
        <is>
          <t>viewer_mockup.html の対象ピーク表示において、key_col_resolved=false（広域再解析でも親ピークが見つからないピーク）に対して「陸地最高峰」（島嶼部の場合は「島嶼部最高峰」）であることが視認できる表示を追加する。
## 背景
- ADR-SRS-008 / ADR-SRS-011 で「陸地最高峰」「島嶼部最高峰」が key_col_resolved=false のケースとして定義済み
- このようなピークはプロミネンス = 標高となり、Key コルが定義されない特殊ケース
- 申請レビュー時に「なぜ Key コルが空なのか」が一目でわかる必要がある
## 想定する表示案（実装時に再検討）
- 対象ピークのポップアップ内に「陸地最高峰」バッジを表示
- Key コル情報欄を「— 陸地最高峰のため未定義」のような注記に置き換える
## 注意
- 用語「陸地最高峰」「島嶼部最高峰」は現状 ADR にのみ登場。GLOSSARY や URD/SRS への正式取り込みが先に必要かは別途判断
- モックアップ改修タイミングでまとめて対応するのが望ましい</t>
        </is>
      </c>
      <c r="D55" s="2" t="inlineStr">
        <is>
          <t>改善</t>
        </is>
      </c>
      <c r="E55" s="5" t="inlineStr">
        <is>
          <t>低</t>
        </is>
      </c>
      <c r="F55" s="2" t="inlineStr"/>
      <c r="G55" s="2" t="inlineStr"/>
      <c r="H55" s="2" t="inlineStr">
        <is>
          <t>2026-05-24</t>
        </is>
      </c>
      <c r="I55" s="2" t="inlineStr"/>
      <c r="J55" s="2" t="inlineStr"/>
      <c r="K55" s="2" t="inlineStr">
        <is>
          <t>解決済</t>
        </is>
      </c>
      <c r="L55" s="2" t="inlineStr"/>
      <c r="M55" s="2" t="inlineStr"/>
      <c r="N55" s="2" t="inlineStr"/>
      <c r="O55" s="2" t="inlineStr">
        <is>
          <t>2026-05-24</t>
        </is>
      </c>
      <c r="P55" s="2" t="inlineStr">
        <is>
          <t>2026-05-24</t>
        </is>
      </c>
    </row>
    <row r="56" ht="40" customHeight="1">
      <c r="A56" s="2" t="inlineStr">
        <is>
          <t>ISSUE-055</t>
        </is>
      </c>
      <c r="B56" s="2" t="inlineStr">
        <is>
          <t>SRS: GeoJSONビューア（HTMLビュー）のUI要件追加</t>
        </is>
      </c>
      <c r="C56" s="2" t="inlineStr"/>
      <c r="D56" s="2" t="inlineStr">
        <is>
          <t>機能追加</t>
        </is>
      </c>
      <c r="E56" s="4" t="inlineStr">
        <is>
          <t>中</t>
        </is>
      </c>
      <c r="F56" s="2" t="inlineStr"/>
      <c r="G56" s="2" t="inlineStr"/>
      <c r="H56" s="2" t="inlineStr">
        <is>
          <t>2026-05-24</t>
        </is>
      </c>
      <c r="I56" s="2" t="inlineStr">
        <is>
          <t>SRS</t>
        </is>
      </c>
      <c r="J56" s="2" t="inlineStr"/>
      <c r="K56" s="2" t="inlineStr">
        <is>
          <t>解決済</t>
        </is>
      </c>
      <c r="L56" s="2" t="inlineStr"/>
      <c r="M56" s="2" t="inlineStr"/>
      <c r="N56" s="2" t="inlineStr">
        <is>
          <t>HTMLビューアはユーザーI/Fの1つ（外部I/F）であり、SRSに以下を記載する必要がある。
- match_status別の視覚的区別表示要件
- key_col_resolved=falseピークの陸地最高峰/島嶼部最高峰特別表示
- ポップアップ表示項目と編集可否（山岳名は新規のみ入力可など）
- 変更の根拠フィールドの入力要件・初期値テンプレート（※2/※4/※5）
- エクスポート機能の存在と出力内容
実装手段（Leaflet・HTML単体・localStorage等）はHLDに記載する。</t>
        </is>
      </c>
      <c r="O56" s="2" t="inlineStr">
        <is>
          <t>2026-05-28</t>
        </is>
      </c>
      <c r="P56" s="2" t="inlineStr">
        <is>
          <t>2026-05-28</t>
        </is>
      </c>
    </row>
    <row r="57" ht="40" customHeight="1">
      <c r="A57" s="2" t="inlineStr">
        <is>
          <t>ISSUE-056</t>
        </is>
      </c>
      <c r="B57" s="2" t="inlineStr">
        <is>
          <t>prefetch_tiles.py: FR-001 仕様追従（全種別独立取得・404時ローカルキャッシュ削除）</t>
        </is>
      </c>
      <c r="C57" s="2" t="inlineStr">
        <is>
          <t>SRS FR-001 改訂（2026-05-25）に合わせて prefetch_tiles.py の実装を修正する。
【修正内容】
1. fetch_dem5_with_fallback() の早期 break を撤廃し、dem5a/b/c を独立ジョブとして列挙・取得する（種別間の条件分岐なし）
2. enumerate_jobs() で dem5b/dem5c も常に列挙対象に含める
3. fetch_one() で HTTP 404 受信時に同パスのローカルキャッシュが存在すれば os.unlink(path) で削除し、地理院側と同じ状態に保つ
【背景】
旧実装は dem5a 取得成功で break する「タイル単位フォールバック取得」になっており、FR-002 のピクセル単位フォールバックが機能するための前提（全種別のタイルがローカルに揃っていること）を満たしていなかった。また 404 受信時にローカルキャッシュを残すと地理院側で削除されたタイルがローカルに残り続ける問題があった。
【対象ファイル】
- scripts/prefetch_tiles.py
  - fetch_dem5_with_fallback() (185-199行付近): early break 撤廃
  - enumerate_jobs() : dem5b/dem5c を列挙対象に追加
  - fetch_one() (131-180行付近): 404時の os.unlink 追加</t>
        </is>
      </c>
      <c r="D57" s="2" t="inlineStr">
        <is>
          <t>改善</t>
        </is>
      </c>
      <c r="E57" s="3" t="inlineStr">
        <is>
          <t>高</t>
        </is>
      </c>
      <c r="F57" s="2" t="inlineStr"/>
      <c r="G57" s="2" t="inlineStr"/>
      <c r="H57" s="2" t="inlineStr">
        <is>
          <t>2026-05-25</t>
        </is>
      </c>
      <c r="I57" s="2" t="inlineStr">
        <is>
          <t>COD</t>
        </is>
      </c>
      <c r="J57" s="2" t="inlineStr"/>
      <c r="K57" s="2" t="inlineStr">
        <is>
          <t>却下</t>
        </is>
      </c>
      <c r="L57" s="2" t="inlineStr"/>
      <c r="M57" s="2" t="inlineStr"/>
      <c r="N57" s="2" t="inlineStr">
        <is>
          <t>【ADR-SRS-018 反映】北方領土除外タイルリストの読み込みと取得スキップ処理が追加変更点として加わった。enumerate_jobs() または fetch() の段階で、北方領土除外タイルリスト（テキスト: x y ペア）を読み込み、リスト内のタイルはジョブに含めない（HTTP リクエストを発行しない）。既存ローカルキャッシュが存在する場合は削除して地理院側と同じ状態に保つこと（取得しない = リストに入れないのと同義）。</t>
        </is>
      </c>
      <c r="O57" s="2" t="inlineStr"/>
      <c r="P57" s="2" t="inlineStr">
        <is>
          <t>2026-06-07</t>
        </is>
      </c>
    </row>
    <row r="58" ht="40" customHeight="1">
      <c r="A58" s="2" t="inlineStr">
        <is>
          <t>ISSUE-057</t>
        </is>
      </c>
      <c r="B58" s="2" t="inlineStr">
        <is>
          <t>SRS 機能要件セクション: 各 FR を統一フォーマット（対応UR/概要/入力/出力/詳細）に整理</t>
        </is>
      </c>
      <c r="C58" s="2" t="inlineStr">
        <is>
          <t>現状の docs/02_SRS.md 機能要件セクション（FR-001〜FR-018 計20件）は項目順序と見出し付けがバラバラで読みづらい。全 FR を 対応UR → 概要 → 入力 → 出力 → 詳細 の順に統一する。形式は - **ラベル**: の bullet 形式に揃え、入出力欄は全 FR で必ず埋める。詳細は mgmt/plan.md を参照。</t>
        </is>
      </c>
      <c r="D58" s="2" t="inlineStr">
        <is>
          <t>改善</t>
        </is>
      </c>
      <c r="E58" s="4" t="inlineStr">
        <is>
          <t>中</t>
        </is>
      </c>
      <c r="F58" s="2" t="inlineStr">
        <is>
          <t>その他</t>
        </is>
      </c>
      <c r="G58" s="2" t="inlineStr"/>
      <c r="H58" s="2" t="inlineStr">
        <is>
          <t>2026-05-29</t>
        </is>
      </c>
      <c r="I58" s="2" t="inlineStr">
        <is>
          <t>SRS</t>
        </is>
      </c>
      <c r="J58" s="2" t="inlineStr">
        <is>
          <t>SRS</t>
        </is>
      </c>
      <c r="K58" s="2" t="inlineStr">
        <is>
          <t>解決済</t>
        </is>
      </c>
      <c r="L58" s="2" t="inlineStr"/>
      <c r="M58" s="2" t="inlineStr"/>
      <c r="N58" s="2" t="inlineStr">
        <is>
          <t>形式・入出力欄の扱いはユーザーと事前合意済み（plan.md 参照）。20 FR 各々の概要・入力・出力は plan.md の表で確定済み。</t>
        </is>
      </c>
      <c r="O58" s="2" t="inlineStr">
        <is>
          <t>2026-05-29</t>
        </is>
      </c>
      <c r="P58" s="2" t="inlineStr">
        <is>
          <t>2026-05-29</t>
        </is>
      </c>
    </row>
    <row r="59" ht="40" customHeight="1">
      <c r="A59" s="2" t="inlineStr">
        <is>
          <t>ISSUE-058</t>
        </is>
      </c>
      <c r="B59" s="2" t="inlineStr">
        <is>
          <t>SRS: ステップ廃止・フェーズ5新設・FR-013分割・FR-019/020追加</t>
        </is>
      </c>
      <c r="C59" s="2" t="inlineStr"/>
      <c r="D59" s="2" t="inlineStr">
        <is>
          <t>改善</t>
        </is>
      </c>
      <c r="E59" s="3" t="inlineStr">
        <is>
          <t>高</t>
        </is>
      </c>
      <c r="F59" s="2" t="inlineStr"/>
      <c r="G59" s="2" t="inlineStr"/>
      <c r="H59" s="2" t="inlineStr">
        <is>
          <t>2026-05-29</t>
        </is>
      </c>
      <c r="I59" s="2" t="inlineStr">
        <is>
          <t>SRS</t>
        </is>
      </c>
      <c r="J59" s="2" t="inlineStr"/>
      <c r="K59" s="2" t="inlineStr">
        <is>
          <t>解決済</t>
        </is>
      </c>
      <c r="L59" s="2" t="inlineStr"/>
      <c r="M59" s="2" t="inlineStr"/>
      <c r="N59" s="2" t="inlineStr">
        <is>
          <t>ステップ層撤廃・フェーズ3.5内包・FR-013をビューア生成仕様(残置)とビューア機能仕様(FR-019新規)に分割・フェーズ5:申請書生成新設(FR-019/011/012/020)・公開用HTML生成FR-020新規追加。詳細: mgmt/plan.md</t>
        </is>
      </c>
      <c r="O59" s="2" t="inlineStr">
        <is>
          <t>2026-05-29</t>
        </is>
      </c>
      <c r="P59" s="2" t="inlineStr">
        <is>
          <t>2026-05-29</t>
        </is>
      </c>
    </row>
    <row r="60" ht="40" customHeight="1">
      <c r="A60" s="2" t="inlineStr">
        <is>
          <t>ISSUE-059</t>
        </is>
      </c>
      <c r="B60" s="2" t="inlineStr">
        <is>
          <t>実装側ファイル名追従: merged_peak.csv / merged_summit.xlsx リネーム</t>
        </is>
      </c>
      <c r="C60" s="2" t="inlineStr">
        <is>
          <t>SRS 改訂（merged.csv 命名整理）に伴う実装追従。scripts/merge.py:50 の DEFAULT_OUTPUT を merged_peak.csv に変更、scripts/output_geojson.py:34 の DEFAULT_INPUT を merged_peak.csv に変更。FR-009 から merged_summit.csv 出力ロジックを新規追加（カラム構成は FR-012 と同じ）。</t>
        </is>
      </c>
      <c r="D60" s="2" t="inlineStr">
        <is>
          <t>改善</t>
        </is>
      </c>
      <c r="E60" s="3" t="inlineStr">
        <is>
          <t>高</t>
        </is>
      </c>
      <c r="F60" s="2" t="inlineStr">
        <is>
          <t>merge.py</t>
        </is>
      </c>
      <c r="G60" s="2" t="inlineStr"/>
      <c r="H60" s="2" t="inlineStr">
        <is>
          <t>2026-05-29</t>
        </is>
      </c>
      <c r="I60" s="2" t="inlineStr">
        <is>
          <t>COD</t>
        </is>
      </c>
      <c r="J60" s="2" t="inlineStr"/>
      <c r="K60" s="2" t="inlineStr">
        <is>
          <t>却下</t>
        </is>
      </c>
      <c r="L60" s="2" t="inlineStr"/>
      <c r="M60" s="2" t="inlineStr">
        <is>
          <t>merge.py の DEFAULT_OUTPUT 変更 + output_geojson.py の DEFAULT_INPUT 変更 + output_geojson.py に merged_summit.csv 出力処理追加</t>
        </is>
      </c>
      <c r="N60" s="2" t="inlineStr">
        <is>
          <t>SRS 改訂（2026-05-29: xlsx 化）に伴い追加スコープ: merged_summit.csv → merged_summit.xlsx（scripts/merge.py の出力変更）、output_geojson.py の DEFAULT_INPUT を merged_peak.csv に変更。FR-012 実装（merged_summit_revised.xlsx 生成）は ISSUE-062 として分離起票のため本 ISSUE のスコープには含めない。</t>
        </is>
      </c>
      <c r="O60" s="2" t="inlineStr"/>
      <c r="P60" s="2" t="inlineStr">
        <is>
          <t>2026-06-07</t>
        </is>
      </c>
    </row>
    <row r="61" ht="40" customHeight="1">
      <c r="A61" s="2" t="inlineStr">
        <is>
          <t>ISSUE-060</t>
        </is>
      </c>
      <c r="B61" s="2" t="inlineStr">
        <is>
          <t>CLAUDE.md / README.md の merged.csv 言及箇所を新命名に更新</t>
        </is>
      </c>
      <c r="C61" s="2" t="inlineStr">
        <is>
          <t>SRS 改訂（merged.csv 命名整理）に伴うドキュメント追従。CLAUDE.md L63 他 merged.csv を参照しているドキュメント箇所を merged_peak.csv / merged_summit.csv に更新する。</t>
        </is>
      </c>
      <c r="D61" s="2" t="inlineStr">
        <is>
          <t>改善</t>
        </is>
      </c>
      <c r="E61" s="5" t="inlineStr">
        <is>
          <t>低</t>
        </is>
      </c>
      <c r="F61" s="2" t="inlineStr">
        <is>
          <t>その他</t>
        </is>
      </c>
      <c r="G61" s="2" t="inlineStr"/>
      <c r="H61" s="2" t="inlineStr">
        <is>
          <t>2026-05-29</t>
        </is>
      </c>
      <c r="I61" s="2" t="inlineStr">
        <is>
          <t>COD</t>
        </is>
      </c>
      <c r="J61" s="2" t="inlineStr"/>
      <c r="K61" s="2" t="inlineStr">
        <is>
          <t>却下</t>
        </is>
      </c>
      <c r="L61" s="2" t="inlineStr"/>
      <c r="M61" s="2" t="inlineStr">
        <is>
          <t>CLAUDE.md・README.md 内の merged.csv 参照を検索し新命名に置換</t>
        </is>
      </c>
      <c r="N61" s="2" t="inlineStr">
        <is>
          <t>merged.csv 命名整理に加えて、2026-05-29 の xlsx 化により merged_summit.xlsx の言及も追加対象。CLAUDE.md L63 他を更新。</t>
        </is>
      </c>
      <c r="O61" s="2" t="inlineStr"/>
      <c r="P61" s="2" t="inlineStr">
        <is>
          <t>2026-06-07</t>
        </is>
      </c>
    </row>
    <row r="62" ht="40" customHeight="1">
      <c r="A62" s="2" t="inlineStr">
        <is>
          <t>ISSUE-061</t>
        </is>
      </c>
      <c r="B62" s="2" t="inlineStr">
        <is>
          <t>SRS merged.csv 命名整理（merged_peak.csv / merged_summit.csv 導入）</t>
        </is>
      </c>
      <c r="C62" s="2" t="inlineStr">
        <is>
          <t>SRS 内で merged.csv というファイル名が FR-008（内部 work CSV）と FR-012（派生エビデンス CSV）で重複していた問題を解消。FR-008 出力を merged_peak.csv にリネーム、FR-009 出力に merged_summit.csv（サミット一覧 CSV・ピーク→サミット概念切り替わり点の確認用）を新規追加。FR-012 出力名は未定のため TBD マーカー化（フェーズ5 レビュー時に確定）。</t>
        </is>
      </c>
      <c r="D62" s="2" t="inlineStr">
        <is>
          <t>改善</t>
        </is>
      </c>
      <c r="E62" s="3" t="inlineStr">
        <is>
          <t>高</t>
        </is>
      </c>
      <c r="F62" s="2" t="inlineStr">
        <is>
          <t>merge.py</t>
        </is>
      </c>
      <c r="G62" s="2" t="inlineStr"/>
      <c r="H62" s="2" t="inlineStr">
        <is>
          <t>2026-05-29</t>
        </is>
      </c>
      <c r="I62" s="2" t="inlineStr">
        <is>
          <t>SRS</t>
        </is>
      </c>
      <c r="J62" s="2" t="inlineStr"/>
      <c r="K62" s="2" t="inlineStr">
        <is>
          <t>解決済</t>
        </is>
      </c>
      <c r="L62" s="2" t="inlineStr"/>
      <c r="M62" s="2" t="inlineStr">
        <is>
          <t>docs/02_SRS.md を改訂。§3.3 俯瞰図・FR-008/FR-009/FR-014/FR-012 出力欄・§6 成果物一覧をすべて新命名に更新</t>
        </is>
      </c>
      <c r="N62" s="2" t="inlineStr"/>
      <c r="O62" s="2" t="inlineStr">
        <is>
          <t>2026-05-29</t>
        </is>
      </c>
      <c r="P62" s="2" t="inlineStr">
        <is>
          <t>2026-05-29</t>
        </is>
      </c>
    </row>
    <row r="63" ht="40" customHeight="1">
      <c r="A63" s="7" t="inlineStr">
        <is>
          <t>ISSUE-062</t>
        </is>
      </c>
      <c r="B63" s="7" t="inlineStr">
        <is>
          <t>FR-012 実装: merged_summit_revised.xlsx 生成スクリプト新規開発</t>
        </is>
      </c>
      <c r="C63" s="7" t="inlineStr">
        <is>
          <t>SRS FR-012（サミット一覧（申請内容反映版）生成）の実装。merged.geojson の Point フィーチャから FR-019 でのユーザー編集内容を反映した merged_summit_revised.xlsx を生成するスクリプトを新規開発する。HTML ビューアの「エクスポート」ボタン（FR-019 経由）との連携も必要。</t>
        </is>
      </c>
      <c r="D63" s="7" t="inlineStr">
        <is>
          <t>機能追加</t>
        </is>
      </c>
      <c r="E63" s="3" t="inlineStr">
        <is>
          <t>高</t>
        </is>
      </c>
      <c r="F63" s="7" t="inlineStr">
        <is>
          <t>GeoJSON出力</t>
        </is>
      </c>
      <c r="G63" s="7" t="inlineStr"/>
      <c r="H63" s="7" t="inlineStr">
        <is>
          <t>2026-05-29</t>
        </is>
      </c>
      <c r="I63" s="7" t="inlineStr">
        <is>
          <t>SRS</t>
        </is>
      </c>
      <c r="J63" s="7" t="inlineStr">
        <is>
          <t>HLD</t>
        </is>
      </c>
      <c r="K63" s="7" t="inlineStr">
        <is>
          <t>未対応</t>
        </is>
      </c>
      <c r="L63" s="7" t="inlineStr"/>
      <c r="M63" s="7" t="inlineStr">
        <is>
          <t>新規スクリプト scripts/export_summit_revised.py 等を作成し、merged.geojson + HTML ビューア編集内容を入力として merged_summit_revised.xlsx を出力するロジックを実装。FR-013 HTML ビューア改修（エクスポートトリガー連携）も別途必要。</t>
        </is>
      </c>
      <c r="N63" s="7" t="inlineStr">
        <is>
          <t>【スコープ更新（2026-05-31）】FR-012 はブラウザ内（HTML ビューア）で生成する方針に確定（SRS 修正済み・FR-012 出力先を /results/ からブラウザダウンロードに変更）。生成した merged_summit_revised.xlsx は申請エビデンス ZIP（FR-021）に同梱。Python バッチでの生成は行わない。FR-021 の実装（ISSUE-063）と統合して対応する。</t>
        </is>
      </c>
      <c r="O63" s="7" t="inlineStr"/>
      <c r="P63" s="7" t="inlineStr"/>
    </row>
    <row r="64" ht="40" customHeight="1">
      <c r="A64" s="6" t="inlineStr">
        <is>
          <t>ISSUE-063</t>
        </is>
      </c>
      <c r="B64" s="6" t="inlineStr">
        <is>
          <t>FR-021 実装: 申請エビデンス ZIP 生成（ブラウザ内）</t>
        </is>
      </c>
      <c r="C64" s="6" t="inlineStr"/>
      <c r="D64" s="6" t="inlineStr">
        <is>
          <t>機能追加</t>
        </is>
      </c>
      <c r="E64" s="3" t="inlineStr">
        <is>
          <t>高</t>
        </is>
      </c>
      <c r="F64" s="6" t="inlineStr">
        <is>
          <t>GeoJSON出力</t>
        </is>
      </c>
      <c r="G64" s="6" t="inlineStr"/>
      <c r="H64" s="6" t="inlineStr">
        <is>
          <t>2026-05-31</t>
        </is>
      </c>
      <c r="I64" s="6" t="inlineStr">
        <is>
          <t>SRS</t>
        </is>
      </c>
      <c r="J64" s="6" t="inlineStr">
        <is>
          <t>HLD</t>
        </is>
      </c>
      <c r="K64" s="6" t="inlineStr">
        <is>
          <t>未対応</t>
        </is>
      </c>
      <c r="L64" s="6" t="inlineStr"/>
      <c r="M64" s="6" t="inlineStr">
        <is>
          <t>HTML ビューアの「申請エビデンス」ボタンで JSZip を使い申請エビデンス ZIP をブラウザダウンロードする。同梱内容: merged_summit_revised.xlsx（FR-012）+ new/dominant/changed/unchanged の 4 GeoJSON。ISSUE-062（FR-012 XLSX 生成）と統合実装。SRS FR-021 で仕様確定済み。</t>
        </is>
      </c>
      <c r="N64" s="6" t="inlineStr"/>
      <c r="O64" s="6" t="inlineStr"/>
      <c r="P64" s="6" t="inlineStr"/>
    </row>
    <row r="65" ht="40" customHeight="1">
      <c r="A65" s="2" t="inlineStr">
        <is>
          <t>ISSUE-064</t>
        </is>
      </c>
      <c r="B65" s="2" t="inlineStr">
        <is>
          <t>パイプライン: gsi_tile_latest_date を merged.geojson.metadata に格納</t>
        </is>
      </c>
      <c r="C65" s="2" t="inlineStr"/>
      <c r="D65" s="2" t="inlineStr">
        <is>
          <t>改善</t>
        </is>
      </c>
      <c r="E65" s="3" t="inlineStr">
        <is>
          <t>高</t>
        </is>
      </c>
      <c r="F65" s="2" t="inlineStr">
        <is>
          <t>merge.py</t>
        </is>
      </c>
      <c r="G65" s="2" t="inlineStr"/>
      <c r="H65" s="2" t="inlineStr">
        <is>
          <t>2026-05-31</t>
        </is>
      </c>
      <c r="I65" s="2" t="inlineStr"/>
      <c r="J65" s="2" t="inlineStr"/>
      <c r="K65" s="2" t="inlineStr">
        <is>
          <t>却下</t>
        </is>
      </c>
      <c r="L65" s="2" t="inlineStr"/>
      <c r="M65" s="2" t="inlineStr">
        <is>
          <t>scripts/merge.py または scripts/prefetch_tiles.py でローカルキャッシュタイルの mtime 最大値を集計し、gsi_tile_latest_date として merged.geojson の metadata に格納する。タイルの mtime は地理院サーバの Last-Modified ヘッダと一致（prefetch_tiles.py で os.utime() により設定済み）。SRS FR-019 に仕様記載済み。</t>
        </is>
      </c>
      <c r="N65" s="2" t="inlineStr">
        <is>
          <t>フォーマット規定: YYYY-MM-DD 形式（UTC）。ビューア表示時は末尾に (UTC) を付記すること。SRS FR-019 に明記済み（2026-05-31 更新）</t>
        </is>
      </c>
      <c r="O65" s="2" t="inlineStr"/>
      <c r="P65" s="2" t="inlineStr">
        <is>
          <t>2026-06-07</t>
        </is>
      </c>
    </row>
    <row r="66" ht="40" customHeight="1">
      <c r="A66" s="2" t="inlineStr">
        <is>
          <t>ISSUE-065</t>
        </is>
      </c>
      <c r="B66" s="2" t="inlineStr">
        <is>
          <t>モックアップ「変更あり」フィルターを is_band_change_candidate ベースに統一</t>
        </is>
      </c>
      <c r="C66" s="2" t="inlineStr"/>
      <c r="D66" s="2" t="inlineStr">
        <is>
          <t>改善</t>
        </is>
      </c>
      <c r="E66" s="5" t="inlineStr">
        <is>
          <t>低</t>
        </is>
      </c>
      <c r="F66" s="2" t="inlineStr">
        <is>
          <t>その他</t>
        </is>
      </c>
      <c r="G66" s="2" t="inlineStr"/>
      <c r="H66" s="2" t="inlineStr">
        <is>
          <t>2026-05-31</t>
        </is>
      </c>
      <c r="I66" s="2" t="inlineStr"/>
      <c r="J66" s="2" t="inlineStr"/>
      <c r="K66" s="2" t="inlineStr">
        <is>
          <t>却下</t>
        </is>
      </c>
      <c r="L66" s="2" t="inlineStr"/>
      <c r="M66" s="2" t="inlineStr">
        <is>
          <t>viewer_mockup.html の「変更あり」フィルター判定を localStorage 保存ありから is_band_change_candidate=true ベースに変更する。SRS 定義（FR-012 / FR-021）との整合を取る。</t>
        </is>
      </c>
      <c r="N66" s="2" t="inlineStr"/>
      <c r="O66" s="2" t="inlineStr"/>
      <c r="P66" s="2" t="inlineStr">
        <is>
          <t>2026-06-07</t>
        </is>
      </c>
    </row>
    <row r="67" ht="40" customHeight="1">
      <c r="A67" s="7" t="inlineStr">
        <is>
          <t>ISSUE-066</t>
        </is>
      </c>
      <c r="B67" s="7" t="inlineStr">
        <is>
          <t>FR-019 検索機能実装: 実 GeoJSON データでの動作確認と本実装</t>
        </is>
      </c>
      <c r="C67" s="7" t="inlineStr">
        <is>
          <t>モックアップで実装した検索機能（サミットコード/山岳名(和英)/緯度経度の部分一致検索・サジェスト・flyTo+ポップアップ）を、本実装フェーズで実 GeoJSON データに対して再現・検証する</t>
        </is>
      </c>
      <c r="D67" s="7" t="inlineStr">
        <is>
          <t>機能追加</t>
        </is>
      </c>
      <c r="E67" s="4" t="inlineStr">
        <is>
          <t>中</t>
        </is>
      </c>
      <c r="F67" s="7" t="inlineStr">
        <is>
          <t>その他</t>
        </is>
      </c>
      <c r="G67" s="7" t="inlineStr"/>
      <c r="H67" s="7" t="inlineStr">
        <is>
          <t>2026-05-31</t>
        </is>
      </c>
      <c r="I67" s="7" t="inlineStr">
        <is>
          <t>SRS</t>
        </is>
      </c>
      <c r="J67" s="7" t="inlineStr">
        <is>
          <t>HLD</t>
        </is>
      </c>
      <c r="K67" s="7" t="inlineStr">
        <is>
          <t>未対応</t>
        </is>
      </c>
      <c r="L67" s="7" t="inlineStr"/>
      <c r="M67" s="7" t="inlineStr"/>
      <c r="N67" s="7" t="inlineStr">
        <is>
          <t>SRS FR-019 に検索機能要件を記載済み（2026-05-31）。検索対象プロパティ: summit_code / summit_name_jp / summit_name。モックアップ実装はdocs/mockup/viewer_mockup.html を参照</t>
        </is>
      </c>
      <c r="O67" s="7" t="inlineStr"/>
      <c r="P67" s="7" t="inlineStr"/>
    </row>
    <row r="68" ht="40" customHeight="1">
      <c r="A68" s="2" t="inlineStr">
        <is>
          <t>ISSUE-067</t>
        </is>
      </c>
      <c r="B68" s="2" t="inlineStr">
        <is>
          <t>国土地理院タイル出典表示の整備</t>
        </is>
      </c>
      <c r="C68" s="2" t="inlineStr"/>
      <c r="D68" s="2" t="inlineStr"/>
      <c r="E68" s="4" t="inlineStr">
        <is>
          <t>中</t>
        </is>
      </c>
      <c r="F68" s="2" t="inlineStr"/>
      <c r="G68" s="2" t="inlineStr"/>
      <c r="H68" s="2" t="inlineStr">
        <is>
          <t>2026-05-31</t>
        </is>
      </c>
      <c r="I68" s="2" t="inlineStr">
        <is>
          <t>SRS</t>
        </is>
      </c>
      <c r="J68" s="2" t="inlineStr"/>
      <c r="K68" s="2" t="inlineStr">
        <is>
          <t>解決済</t>
        </is>
      </c>
      <c r="L68" s="2" t="inlineStr"/>
      <c r="M68" s="2" t="inlineStr"/>
      <c r="N68" s="2" t="inlineStr">
        <is>
          <t>UR-011 新設（URD）、FR-013/FR-012/FR-021 出典要件追加（SRS）、ADR-URD-014 作成済み。実装対象: README / output_geojson.py / merge.py / viewer_mockup.html XLSX出力。ADR-URD-014 参照: docs/decisions/ADR-URD-014-gsi-tile-attribution-policy.md</t>
        </is>
      </c>
      <c r="O68" s="2" t="inlineStr">
        <is>
          <t>2026-05-31</t>
        </is>
      </c>
      <c r="P68" s="2" t="inlineStr">
        <is>
          <t>2026-05-31</t>
        </is>
      </c>
    </row>
    <row r="69" ht="40" customHeight="1">
      <c r="A69" s="2" t="inlineStr">
        <is>
          <t>ISSUE-068</t>
        </is>
      </c>
      <c r="B69" s="2" t="inlineStr">
        <is>
          <t>SRS パラメータ・引数の記述統一</t>
        </is>
      </c>
      <c r="C69" s="2" t="inlineStr">
        <is>
          <t>docs/02_SRS.md の機能要件で入力・引数・パラメータの記述スタイルが機能ごとにバラついている。FR-004 のモード分岐式・FR-008/018 のオプション記述・FR-001 の HLD 寄りリトライ条件等が混在。HLD 着手前にデータ辞書セクション新設・入出力テンプレ統一・任意入力+デフォルト形式へ移行し、実装方式（CLI/config.ini）の言及は HLD へ追い出す。記述規約は ADR-SRS-014 として永続化する。</t>
        </is>
      </c>
      <c r="D69" s="2" t="inlineStr">
        <is>
          <t>改善</t>
        </is>
      </c>
      <c r="E69" s="4" t="inlineStr">
        <is>
          <t>中</t>
        </is>
      </c>
      <c r="F69" s="2" t="inlineStr">
        <is>
          <t>その他</t>
        </is>
      </c>
      <c r="G69" s="2" t="inlineStr"/>
      <c r="H69" s="2" t="inlineStr">
        <is>
          <t>2026-05-31</t>
        </is>
      </c>
      <c r="I69" s="2" t="inlineStr">
        <is>
          <t>SRS</t>
        </is>
      </c>
      <c r="J69" s="2" t="inlineStr">
        <is>
          <t>SRS</t>
        </is>
      </c>
      <c r="K69" s="2" t="inlineStr">
        <is>
          <t>解決済</t>
        </is>
      </c>
      <c r="L69" s="2" t="inlineStr"/>
      <c r="M69" s="2" t="inlineStr">
        <is>
          <t>Phase A: ADR-SRS-014 起案 / Phase B: 02_SRS.md にデータ辞書セクション・テンプレ追加 / Phase C: 既存 FR を新テンプレへ移行（FR-004/008/001 で先行確認）/ Phase D: 00_GLOSSARY.md 同期</t>
        </is>
      </c>
      <c r="N69" s="2" t="inlineStr">
        <is>
          <t>計画ファイル: mgmt/plan.md（srs-nifty-tarjan）</t>
        </is>
      </c>
      <c r="O69" s="2" t="inlineStr">
        <is>
          <t>2026-05-31</t>
        </is>
      </c>
      <c r="P69" s="2" t="inlineStr">
        <is>
          <t>2026-05-31</t>
        </is>
      </c>
    </row>
    <row r="70" ht="40" customHeight="1">
      <c r="A70" s="2" t="inlineStr">
        <is>
          <t>ISSUE-069</t>
        </is>
      </c>
      <c r="B70" s="2" t="inlineStr">
        <is>
          <t>SRS データ辞書の網羅性向上・FR 名称統一・ADR-SRS-014 規約 5 追加</t>
        </is>
      </c>
      <c r="C70" s="2" t="inlineStr"/>
      <c r="D70" s="2" t="inlineStr">
        <is>
          <t>改善</t>
        </is>
      </c>
      <c r="E70" s="3" t="inlineStr">
        <is>
          <t>高</t>
        </is>
      </c>
      <c r="F70" s="2" t="inlineStr"/>
      <c r="G70" s="2" t="inlineStr"/>
      <c r="H70" s="2" t="inlineStr">
        <is>
          <t>2026-06-01</t>
        </is>
      </c>
      <c r="I70" s="2" t="inlineStr">
        <is>
          <t>SRS</t>
        </is>
      </c>
      <c r="J70" s="2" t="inlineStr"/>
      <c r="K70" s="2" t="inlineStr">
        <is>
          <t>解決済</t>
        </is>
      </c>
      <c r="L70" s="2" t="inlineStr"/>
      <c r="M70" s="2" t="inlineStr"/>
      <c r="N70" s="2" t="inlineStr">
        <is>
          <t>データ辞書(3.4→2.2)移動、中間データ登録、全21FR入出力テーブル辞書名統一、ADR-SRS-014規約5追加</t>
        </is>
      </c>
      <c r="O70" s="2" t="inlineStr">
        <is>
          <t>2026-06-01</t>
        </is>
      </c>
      <c r="P70" s="2" t="inlineStr">
        <is>
          <t>2026-06-01</t>
        </is>
      </c>
    </row>
    <row r="71" ht="40" customHeight="1">
      <c r="A71" s="7" t="inlineStr">
        <is>
          <t>ISSUE-070</t>
        </is>
      </c>
      <c r="B71" s="7" t="inlineStr">
        <is>
          <t>等高線レイヤー描画パラメータ確定（HLD）</t>
        </is>
      </c>
      <c r="C71" s="7" t="inlineStr"/>
      <c r="D71" s="7" t="inlineStr">
        <is>
          <t>機能追加</t>
        </is>
      </c>
      <c r="E71" s="3" t="inlineStr">
        <is>
          <t>高</t>
        </is>
      </c>
      <c r="F71" s="7" t="inlineStr"/>
      <c r="G71" s="7" t="inlineStr"/>
      <c r="H71" s="7" t="inlineStr">
        <is>
          <t>2026-06-02</t>
        </is>
      </c>
      <c r="I71" s="7" t="inlineStr">
        <is>
          <t>SRS</t>
        </is>
      </c>
      <c r="J71" s="7" t="inlineStr">
        <is>
          <t>HLD</t>
        </is>
      </c>
      <c r="K71" s="7" t="inlineStr">
        <is>
          <t>未対応</t>
        </is>
      </c>
      <c r="L71" s="7" t="inlineStr"/>
      <c r="M71" s="7" t="inlineStr"/>
      <c r="N71" s="7" t="inlineStr">
        <is>
          <t>【HLD で詰める内容】ADR-SRS-015 の実装詳細。モックアップ(viewer_mockup.html)での確認値を起点として最終確定する。(1) ズーム別計曲線/主曲線間隔（暫定: z≤11: 500/100m、z≤13: 200/50m、z≤14: 100/20m、z≥15: 50/10m）。(2) 線色・透明度（暫定: 計曲線 #a04020 alpha=120、主曲線 #c87850 alpha=70。OSM・地理院淡色との合成可読性で微調整）。(3) 描画アルゴリズム（現状: 隣接セル比較、257×257拡張グリッドでタイル境界を解消済み）。(4) 本番 HTML 実装時はモックアップの ContourLayer コードを参照すること。</t>
        </is>
      </c>
      <c r="O71" s="7" t="inlineStr"/>
      <c r="P71" s="7" t="inlineStr"/>
    </row>
    <row r="72" ht="40" customHeight="1">
      <c r="A72" s="6" t="inlineStr">
        <is>
          <t>ISSUE-071</t>
        </is>
      </c>
      <c r="B72" s="6" t="inlineStr">
        <is>
          <t>標高タイル選択・フォールバック実装方針（HLD）</t>
        </is>
      </c>
      <c r="C72" s="6" t="inlineStr"/>
      <c r="D72" s="6" t="inlineStr">
        <is>
          <t>機能追加</t>
        </is>
      </c>
      <c r="E72" s="3" t="inlineStr">
        <is>
          <t>高</t>
        </is>
      </c>
      <c r="F72" s="6" t="inlineStr"/>
      <c r="G72" s="6" t="inlineStr"/>
      <c r="H72" s="6" t="inlineStr">
        <is>
          <t>2026-06-02</t>
        </is>
      </c>
      <c r="I72" s="6" t="inlineStr">
        <is>
          <t>SRS</t>
        </is>
      </c>
      <c r="J72" s="6" t="inlineStr">
        <is>
          <t>HLD</t>
        </is>
      </c>
      <c r="K72" s="6" t="inlineStr">
        <is>
          <t>未対応</t>
        </is>
      </c>
      <c r="L72" s="6" t="inlineStr"/>
      <c r="M72" s="6" t="inlineStr"/>
      <c r="N72" s="6" t="inlineStr">
        <is>
          <t>【HLD で詰める内容】ADR-SRS-015 の実装詳細。(1) ズーム別優先タイル（dem10b/dem5a/dem1a）の選択ロジック確定。(2) 404 時フォールバック順序（dem5a→dem5b→dem5c→dem_png z14 縮小補完）の本番実装。(3) dem1a（z=17、1m メッシュ）採用可否の再評価（ADR-SRS-015 で現状見送り）。(4) 取得失敗時の Canvas タイル扱い（透明 or 「等高線なし」表示）。(5) GSI 規約上問題のない並列リクエスト数の上限確認。(6) fetch + blob URL 方式（CORS canvas taint 回避）の維持確認。</t>
        </is>
      </c>
      <c r="O72" s="6" t="inlineStr"/>
      <c r="P72" s="6" t="inlineStr"/>
    </row>
    <row r="73" ht="40" customHeight="1">
      <c r="A73" s="7" t="inlineStr">
        <is>
          <t>ISSUE-072</t>
        </is>
      </c>
      <c r="B73" s="7" t="inlineStr">
        <is>
          <t>Leaflet pane 構成と重ね順の整理（HLD）</t>
        </is>
      </c>
      <c r="C73" s="7" t="inlineStr"/>
      <c r="D73" s="7" t="inlineStr">
        <is>
          <t>改善</t>
        </is>
      </c>
      <c r="E73" s="4" t="inlineStr">
        <is>
          <t>中</t>
        </is>
      </c>
      <c r="F73" s="7" t="inlineStr"/>
      <c r="G73" s="7" t="inlineStr"/>
      <c r="H73" s="7" t="inlineStr">
        <is>
          <t>2026-06-02</t>
        </is>
      </c>
      <c r="I73" s="7" t="inlineStr">
        <is>
          <t>SRS</t>
        </is>
      </c>
      <c r="J73" s="7" t="inlineStr">
        <is>
          <t>HLD</t>
        </is>
      </c>
      <c r="K73" s="7" t="inlineStr">
        <is>
          <t>未対応</t>
        </is>
      </c>
      <c r="L73" s="7" t="inlineStr"/>
      <c r="M73" s="7" t="inlineStr"/>
      <c r="N73" s="7" t="inlineStr">
        <is>
          <t>【HLD で詰める内容】(1) contourPane（z-index=250、pointerEvents=none）の正式採用（モックアップで実装済み・検証必要）。(2) 既存オーバーレイ（基準点 cpLayer z=400、1次メッシュ meshGrid z=400）との z-index 整合性確認。(3) 等高線レイヤーのレイヤーコントロール配置（overlay 欄・デフォルト OFF）の確認。(4) 公開用 HTML（FR-020）への等高線レイヤー引き継ぎ方針。</t>
        </is>
      </c>
      <c r="O73" s="7" t="inlineStr"/>
      <c r="P73" s="7" t="inlineStr"/>
    </row>
    <row r="74" ht="40" customHeight="1">
      <c r="A74" s="6" t="inlineStr">
        <is>
          <t>ISSUE-073</t>
        </is>
      </c>
      <c r="B74" s="6" t="inlineStr">
        <is>
          <t>attribution 制御方式の確定（HLD）</t>
        </is>
      </c>
      <c r="C74" s="6" t="inlineStr"/>
      <c r="D74" s="6" t="inlineStr">
        <is>
          <t>改善</t>
        </is>
      </c>
      <c r="E74" s="4" t="inlineStr">
        <is>
          <t>中</t>
        </is>
      </c>
      <c r="F74" s="6" t="inlineStr"/>
      <c r="G74" s="6" t="inlineStr"/>
      <c r="H74" s="6" t="inlineStr">
        <is>
          <t>2026-06-02</t>
        </is>
      </c>
      <c r="I74" s="6" t="inlineStr">
        <is>
          <t>SRS</t>
        </is>
      </c>
      <c r="J74" s="6" t="inlineStr">
        <is>
          <t>HLD</t>
        </is>
      </c>
      <c r="K74" s="6" t="inlineStr">
        <is>
          <t>未対応</t>
        </is>
      </c>
      <c r="L74" s="6" t="inlineStr"/>
      <c r="M74" s="6" t="inlineStr"/>
      <c r="N74" s="6" t="inlineStr">
        <is>
          <t>【HLD で詰める内容】(1) map.attributionControl.addAttribution() による固定 attribution 追加方式の本番実装（モックアップで確認済み）。(2) 基図の GSI 系タイル（地理院標準・淡色）自体の attribution と固定 attribution の重複表示の扱い（現状: 2つの GSI リンクが並ぶ。許容するか整理するか）。(3) 公開用 HTML エクスポート（FR-020）への引き継ぎ確認。</t>
        </is>
      </c>
      <c r="O74" s="6" t="inlineStr"/>
      <c r="P74" s="6" t="inlineStr"/>
    </row>
    <row r="75" ht="40" customHeight="1">
      <c r="A75" s="7" t="inlineStr">
        <is>
          <t>ISSUE-074</t>
        </is>
      </c>
      <c r="B75" s="7" t="inlineStr">
        <is>
          <t>Phase構造の再編: Phase 2-1/2-2/3 → Phase 2/3 フェーズ単位ループへ変更</t>
        </is>
      </c>
      <c r="C75" s="7" t="inlineStr">
        <is>
          <t>Phase 2-1/2-2/3 の3区分構造を Phase 2/3 のフェーズ単位ループへ変更する。Phase 3 のループ構造を明示し、3.3.2 俯瞰図と関連 FR 本文を更新する。3.3.1 マトリクスの横軸も Phase 1/2/3/4/5 に再編する。</t>
        </is>
      </c>
      <c r="D75" s="7" t="inlineStr">
        <is>
          <t>改善</t>
        </is>
      </c>
      <c r="E75" s="4" t="inlineStr">
        <is>
          <t>中</t>
        </is>
      </c>
      <c r="F75" s="7" t="inlineStr"/>
      <c r="G75" s="7" t="inlineStr"/>
      <c r="H75" s="7" t="inlineStr">
        <is>
          <t>2026-06-04</t>
        </is>
      </c>
      <c r="I75" s="7" t="inlineStr">
        <is>
          <t>SRS</t>
        </is>
      </c>
      <c r="J75" s="7" t="inlineStr">
        <is>
          <t>SRS</t>
        </is>
      </c>
      <c r="K75" s="7" t="inlineStr">
        <is>
          <t>未対応</t>
        </is>
      </c>
      <c r="L75" s="7" t="inlineStr"/>
      <c r="M75" s="7" t="inlineStr"/>
      <c r="N75" s="7" t="inlineStr"/>
      <c r="O75" s="7" t="inlineStr"/>
      <c r="P75" s="7" t="inlineStr"/>
    </row>
    <row r="76" ht="40" customHeight="1">
      <c r="A76" s="2" t="inlineStr">
        <is>
          <t>ISSUE-075</t>
        </is>
      </c>
      <c r="B76" s="2" t="inlineStr">
        <is>
          <t>FR-004/FR-014 責務分担変更 + ADR-SRS-004 更新</t>
        </is>
      </c>
      <c r="C76" s="2" t="inlineStr">
        <is>
          <t>FR-004 を「3x3メッシュ結合解析オーケストレーション」に改名・3x3 専用に純化（N≥4 モード削除）。FR-014 を「広域結合解析オーケストレーション」に格上げし、4 コーナー配置（NW/NE/SW/SE）生成を内部化。ADR-SRS-004 を本方針に合わせて再更新する。</t>
        </is>
      </c>
      <c r="D76" s="2" t="inlineStr">
        <is>
          <t>改善</t>
        </is>
      </c>
      <c r="E76" s="4" t="inlineStr">
        <is>
          <t>中</t>
        </is>
      </c>
      <c r="F76" s="2" t="inlineStr"/>
      <c r="G76" s="2" t="inlineStr"/>
      <c r="H76" s="2" t="inlineStr">
        <is>
          <t>2026-06-04</t>
        </is>
      </c>
      <c r="I76" s="2" t="inlineStr">
        <is>
          <t>SRS</t>
        </is>
      </c>
      <c r="J76" s="2" t="inlineStr">
        <is>
          <t>SRS</t>
        </is>
      </c>
      <c r="K76" s="2" t="inlineStr">
        <is>
          <t>解決済</t>
        </is>
      </c>
      <c r="L76" s="2" t="inlineStr"/>
      <c r="M76" s="2" t="inlineStr"/>
      <c r="N76" s="2" t="inlineStr">
        <is>
          <t>完了後、ISSUE-087（SRS FR-005 ピーク候補検出のレビュー反映）に着手すること。FR-005 観点 L（制御フロー・オーケストレーション所在）の確定は本 ISSUE の再編結果に依存する。</t>
        </is>
      </c>
      <c r="O76" s="2" t="inlineStr">
        <is>
          <t>2026-06-09</t>
        </is>
      </c>
      <c r="P76" s="2" t="inlineStr">
        <is>
          <t>2026-06-13</t>
        </is>
      </c>
    </row>
    <row r="77" ht="40" customHeight="1">
      <c r="A77" s="7" t="inlineStr">
        <is>
          <t>ISSUE-076</t>
        </is>
      </c>
      <c r="B77" s="7" t="inlineStr">
        <is>
          <t>FR-022 出力明示 + フェーズ遷移制御の所在</t>
        </is>
      </c>
      <c r="C77" s="7" t="inlineStr">
        <is>
          <t>FR-022 出力テーブルに「未解決ピーク座標リスト」「次の N 値」「次のアクション (Phase 3 起動 / Phase 4 移行)」を明示する。フェーズ遷移制御を SRS のどこまで規定し HLD に何を委ねるかを決定する。</t>
        </is>
      </c>
      <c r="D77" s="7" t="inlineStr">
        <is>
          <t>改善</t>
        </is>
      </c>
      <c r="E77" s="4" t="inlineStr">
        <is>
          <t>中</t>
        </is>
      </c>
      <c r="F77" s="7" t="inlineStr"/>
      <c r="G77" s="7" t="inlineStr"/>
      <c r="H77" s="7" t="inlineStr">
        <is>
          <t>2026-06-04</t>
        </is>
      </c>
      <c r="I77" s="7" t="inlineStr">
        <is>
          <t>SRS</t>
        </is>
      </c>
      <c r="J77" s="7" t="inlineStr">
        <is>
          <t>SRS</t>
        </is>
      </c>
      <c r="K77" s="7" t="inlineStr">
        <is>
          <t>未対応</t>
        </is>
      </c>
      <c r="L77" s="7" t="inlineStr"/>
      <c r="M77" s="7" t="inlineStr"/>
      <c r="N77" s="7" t="inlineStr"/>
      <c r="O77" s="7" t="inlineStr"/>
      <c r="P77" s="7" t="inlineStr"/>
    </row>
    <row r="78" ht="40" customHeight="1">
      <c r="A78" s="2" t="inlineStr">
        <is>
          <t>ISSUE-077</t>
        </is>
      </c>
      <c r="B78" s="2" t="inlineStr">
        <is>
          <t>外部I/F・ユーザー入力・内部データの三分類規約とSRS再編</t>
        </is>
      </c>
      <c r="C78" s="2" t="inlineStr"/>
      <c r="D78" s="2" t="inlineStr">
        <is>
          <t>設計</t>
        </is>
      </c>
      <c r="E78" s="3" t="inlineStr">
        <is>
          <t>高</t>
        </is>
      </c>
      <c r="F78" s="2" t="inlineStr"/>
      <c r="G78" s="2" t="inlineStr"/>
      <c r="H78" s="2" t="inlineStr">
        <is>
          <t>2026-06-05</t>
        </is>
      </c>
      <c r="I78" s="2" t="inlineStr">
        <is>
          <t>SRS</t>
        </is>
      </c>
      <c r="J78" s="2" t="inlineStr"/>
      <c r="K78" s="2" t="inlineStr">
        <is>
          <t>解決済</t>
        </is>
      </c>
      <c r="L78" s="2" t="inlineStr"/>
      <c r="M78" s="2" t="inlineStr"/>
      <c r="N78" s="2" t="inlineStr">
        <is>
          <t>CLAUDE.md・GLOSSARY・SRS・ADR-SRS-016 を更新。2.2.2廃止→7.2、6.10/6.14/6.16/6.17移設、7→8/8→9/9→10リナンバリング</t>
        </is>
      </c>
      <c r="O78" s="2" t="inlineStr">
        <is>
          <t>2026-06-05</t>
        </is>
      </c>
      <c r="P78" s="2" t="inlineStr">
        <is>
          <t>2026-06-05</t>
        </is>
      </c>
    </row>
    <row r="79" ht="40" customHeight="1">
      <c r="A79" s="2" t="inlineStr">
        <is>
          <t>ISSUE-078</t>
        </is>
      </c>
      <c r="B79" s="2" t="inlineStr">
        <is>
          <t>ADR-URD-005 北方領土除外タイル取り逃しリスクの実データ検証</t>
        </is>
      </c>
      <c r="C79" s="2" t="inlineStr">
        <is>
          <t>ADR-URD-005「タイル単位除外で十分な精度が得られる理由」の論証が「本土を誤除外しない」のみで、「北方領土を取り逃さない」根拠が実データで未検証。FR-017 レビュー（2026-06-05）で論点として浮上し、別タスクに切り出し。
検証内容:
- N03 から北方領土ポリゴン抽出
- 北方領土領域の DEM タイル（dem5/dem10）でピーク検出
- プロミネンス 150m 以上のピークがポリゴン端付近に存在するか確認
- 存在しなければ ADR の論証として確定
- 存在する場合は buffer 処理（ポリゴンを海側に拡張）を導入</t>
        </is>
      </c>
      <c r="D79" s="2" t="inlineStr">
        <is>
          <t>調査</t>
        </is>
      </c>
      <c r="E79" s="3" t="inlineStr">
        <is>
          <t>高</t>
        </is>
      </c>
      <c r="F79" s="2" t="inlineStr">
        <is>
          <t>その他</t>
        </is>
      </c>
      <c r="G79" s="2" t="inlineStr"/>
      <c r="H79" s="2" t="inlineStr">
        <is>
          <t>2026-06-05</t>
        </is>
      </c>
      <c r="I79" s="2" t="inlineStr">
        <is>
          <t>URD</t>
        </is>
      </c>
      <c r="J79" s="2" t="inlineStr"/>
      <c r="K79" s="2" t="inlineStr">
        <is>
          <t>解決済</t>
        </is>
      </c>
      <c r="L79" s="2" t="inlineStr"/>
      <c r="M79" s="2" t="inlineStr"/>
      <c r="N79" s="2" t="inlineStr">
        <is>
          <t>FR-017 レビュー時にユーザーから「ADR-URD-005 の主張が疑わしい」との指摘あり。論理的には『取り逃しタイル ≒ 海岸線付近 ≒ 標高低 = サミット候補にならない』だが、実データ確認が必要。</t>
        </is>
      </c>
      <c r="O79" s="2" t="inlineStr"/>
      <c r="P79" s="2" t="inlineStr">
        <is>
          <t>2026-06-05</t>
        </is>
      </c>
    </row>
    <row r="80" ht="40" customHeight="1">
      <c r="A80" s="2" t="inlineStr">
        <is>
          <t>ISSUE-079</t>
        </is>
      </c>
      <c r="B80" s="2" t="inlineStr">
        <is>
          <t>scripts/preprocess_pref_boundaries.py を FR-017 改訂版仕様に追従</t>
        </is>
      </c>
      <c r="C80" s="2" t="inlineStr">
        <is>
          <t>FR-017 SRS 改訂（2026-06-05）に伴う実装変更。
主な変更点:
1. ZIP 自動検出方式に対応（$DATA_DIR/ref/ を N03-(\\d{8})_GML\\.zip で走査、YYYYMMDD 最大を採用）
2. ZIP 内市区町村版 GeoJSON のみを一時ディレクトリに展開して処理、処理後削除
3. 都府県/振興局 dissolve 出力を 60 地域（46 都府県 + 14 振興局）に修正（現状実装が 61 地域となっていないか確認）
4. params/config.ini の n03_year 設定参照を廃止
5. 採用 ZIP 名・YYYYMMDD・サイズをログに出力
6. 公式 _prefecture.geojson は使用しない（dissolve されておらず振興局情報なし）
仕様詳細: docs/02_SRS.md FR-017・7.1.3・7.2.1・ADR-URD-005</t>
        </is>
      </c>
      <c r="D80" s="2" t="inlineStr">
        <is>
          <t>改善</t>
        </is>
      </c>
      <c r="E80" s="3" t="inlineStr">
        <is>
          <t>高</t>
        </is>
      </c>
      <c r="F80" s="2" t="inlineStr">
        <is>
          <t>その他</t>
        </is>
      </c>
      <c r="G80" s="2" t="inlineStr"/>
      <c r="H80" s="2" t="inlineStr">
        <is>
          <t>2026-06-05</t>
        </is>
      </c>
      <c r="I80" s="2" t="inlineStr">
        <is>
          <t>COD</t>
        </is>
      </c>
      <c r="J80" s="2" t="inlineStr"/>
      <c r="K80" s="2" t="inlineStr">
        <is>
          <t>却下</t>
        </is>
      </c>
      <c r="L80" s="2" t="inlineStr"/>
      <c r="M80" s="2" t="inlineStr"/>
      <c r="N80" s="2" t="inlineStr">
        <is>
          <t>【ADR-SRS-018 反映】4.1/4.2 の章順序入れ替え自体には実装上の影響なし。出力ファイル仕様（3 種類）は変更なし。</t>
        </is>
      </c>
      <c r="O80" s="2" t="inlineStr"/>
      <c r="P80" s="2" t="inlineStr">
        <is>
          <t>2026-06-07</t>
        </is>
      </c>
    </row>
    <row r="81" ht="40" customHeight="1">
      <c r="A81" s="2" t="inlineStr">
        <is>
          <t>ISSUE-080</t>
        </is>
      </c>
      <c r="B81" s="2" t="inlineStr">
        <is>
          <t>全文書「ユーザー」→「ユーザー」・「キャッシュ」→「ローカルキャッシュ」表記統一</t>
        </is>
      </c>
      <c r="C81" s="2" t="inlineStr"/>
      <c r="D81" s="2" t="inlineStr">
        <is>
          <t>改善</t>
        </is>
      </c>
      <c r="E81" s="4" t="inlineStr">
        <is>
          <t>中</t>
        </is>
      </c>
      <c r="F81" s="2" t="inlineStr"/>
      <c r="G81" s="2" t="inlineStr"/>
      <c r="H81" s="2" t="inlineStr">
        <is>
          <t>2026-06-06</t>
        </is>
      </c>
      <c r="I81" s="2" t="inlineStr">
        <is>
          <t>SRS</t>
        </is>
      </c>
      <c r="J81" s="2" t="inlineStr"/>
      <c r="K81" s="2" t="inlineStr">
        <is>
          <t>解決済</t>
        </is>
      </c>
      <c r="L81" s="2" t="inlineStr"/>
      <c r="M81" s="2" t="inlineStr">
        <is>
          <t>対象ファイル全件の用語を統一する。ユーザー→ユーザー は機械置換（42件）、キャッシュ→ローカルキャッシュ はタイル限定の文脈判別置換（16箇所）。アンカーリンクも同時更新。コードは対象外。</t>
        </is>
      </c>
      <c r="N81" s="2" t="inlineStr"/>
      <c r="O81" s="2" t="inlineStr">
        <is>
          <t>2026-06-06</t>
        </is>
      </c>
      <c r="P81" s="2" t="inlineStr">
        <is>
          <t>2026-06-06</t>
        </is>
      </c>
    </row>
    <row r="82" ht="40" customHeight="1">
      <c r="A82" s="2" t="inlineStr">
        <is>
          <t>ISSUE-081</t>
        </is>
      </c>
      <c r="B82" s="2" t="inlineStr">
        <is>
          <t>SRS: 北方領土除外をタイル取得段階に前倒し・4.1/4.2 入れ替え・3.2/3.3.1/3.3.2 修正</t>
        </is>
      </c>
      <c r="C82" s="2" t="inlineStr">
        <is>
          <t>FR-001/FR-017 の順序入れ替えに伴う SRS 改訂。
主な変更:
1. 4.1/4.2 セクション番号入れ替え（行政区域前処理→タイル取得の順）
2. 3.2/3.3.1/3.3.2 もそれに合わせて修正
3. FR-001 入力: 北方領土除外タイルリスト（必須）追加・1次メッシュコードリストを任意（デフォルト=日本全土）に変更
4. FR-017 概要修正（FR-004→FR-001）・フォールバック節削除
5. FR-004 から北方領土タイル除外段落削除
6. データ辞書 7.2/7.2.1 の参照先を FR-004→FR-001 に変更
7. ADR-SRS-018 新規作成
8. ISSUE-056/ISSUE-079 説明文追記
仕様詳細: mgmt/plan.md</t>
        </is>
      </c>
      <c r="D82" s="2" t="inlineStr"/>
      <c r="E82" s="3" t="inlineStr">
        <is>
          <t>高</t>
        </is>
      </c>
      <c r="F82" s="2" t="inlineStr"/>
      <c r="G82" s="2" t="inlineStr"/>
      <c r="H82" s="2" t="inlineStr">
        <is>
          <t>2026-06-07</t>
        </is>
      </c>
      <c r="I82" s="2" t="inlineStr">
        <is>
          <t>SRS</t>
        </is>
      </c>
      <c r="J82" s="2" t="inlineStr"/>
      <c r="K82" s="2" t="inlineStr">
        <is>
          <t>解決済</t>
        </is>
      </c>
      <c r="L82" s="2" t="inlineStr"/>
      <c r="M82" s="2" t="inlineStr"/>
      <c r="N82" s="2" t="inlineStr"/>
      <c r="O82" s="2" t="inlineStr">
        <is>
          <t>2026-06-07</t>
        </is>
      </c>
      <c r="P82" s="2" t="inlineStr">
        <is>
          <t>2026-06-07</t>
        </is>
      </c>
    </row>
    <row r="83" ht="40" customHeight="1">
      <c r="A83" s="2" t="inlineStr">
        <is>
          <t>ISSUE-082</t>
        </is>
      </c>
      <c r="B83" s="2" t="inlineStr">
        <is>
          <t>SRS/URD 全体の裸 FR-XXX/UR-XXX/NFR-XXX 参照の一括リンク化</t>
        </is>
      </c>
      <c r="C83" s="2" t="inlineStr">
        <is>
          <t>SRS・URD 全体に散在する裸の FR-XXX/UR-XXX/NFR-XXX 表記（約100件規模）を Markdown リンクに一括変換する。CLAUDE.md ドキュメントフォーマット標準にリンク化方針を追記済み（FR-015 レビュー観点 G 対応時に追記）。FR-015 周辺は観点 G の対応で解決済み。残りの SRS/URD 全体分が対象。</t>
        </is>
      </c>
      <c r="D83" s="2" t="inlineStr">
        <is>
          <t>改善</t>
        </is>
      </c>
      <c r="E83" s="5" t="inlineStr">
        <is>
          <t>低</t>
        </is>
      </c>
      <c r="F83" s="2" t="inlineStr"/>
      <c r="G83" s="2" t="inlineStr"/>
      <c r="H83" s="2" t="inlineStr">
        <is>
          <t>2026-06-08</t>
        </is>
      </c>
      <c r="I83" s="2" t="inlineStr">
        <is>
          <t>SRS</t>
        </is>
      </c>
      <c r="J83" s="2" t="inlineStr"/>
      <c r="K83" s="2" t="inlineStr">
        <is>
          <t>解決済</t>
        </is>
      </c>
      <c r="L83" s="2" t="inlineStr"/>
      <c r="M83" s="2" t="inlineStr"/>
      <c r="N83" s="2" t="inlineStr">
        <is>
          <t>FR-015 レビュー（観点 G）の別 ISSUE として登録。CLAUDE.md のフォーマット標準『他 FR/UR/NFR/セクションへの参照は Markdown リンクで記述する』が根拠</t>
        </is>
      </c>
      <c r="O83" s="2" t="inlineStr">
        <is>
          <t>2026-06-12</t>
        </is>
      </c>
      <c r="P83" s="2" t="inlineStr">
        <is>
          <t>2026-06-13</t>
        </is>
      </c>
    </row>
    <row r="84" ht="40" customHeight="1">
      <c r="A84" s="2" t="inlineStr">
        <is>
          <t>ISSUE-083</t>
        </is>
      </c>
      <c r="B84" s="2" t="inlineStr">
        <is>
          <t>SRS 全 FR の入出力テーブル形式欄の一括見直し</t>
        </is>
      </c>
      <c r="C84" s="2" t="inlineStr">
        <is>
          <t>SRS の全 FR 入出力テーブルの「形式」欄を見直し、ファイル形式・データ型のみに統一する。特性記述（解像度・色分け・データ範囲等）は「備考」欄に移動する。CLAUDE.md ドキュメントフォーマット標準に方針を追記済み（FR-015 レビュー観点 I 対応時に追記）。FR-015 出力テーブルは観点 I の対応で修正済み。残りの全 FR 分が対象。</t>
        </is>
      </c>
      <c r="D84" s="2" t="inlineStr">
        <is>
          <t>改善</t>
        </is>
      </c>
      <c r="E84" s="5" t="inlineStr">
        <is>
          <t>低</t>
        </is>
      </c>
      <c r="F84" s="2" t="inlineStr"/>
      <c r="G84" s="2" t="inlineStr"/>
      <c r="H84" s="2" t="inlineStr">
        <is>
          <t>2026-06-08</t>
        </is>
      </c>
      <c r="I84" s="2" t="inlineStr">
        <is>
          <t>SRS</t>
        </is>
      </c>
      <c r="J84" s="2" t="inlineStr"/>
      <c r="K84" s="2" t="inlineStr">
        <is>
          <t>解決済</t>
        </is>
      </c>
      <c r="L84" s="2" t="inlineStr"/>
      <c r="M84" s="2" t="inlineStr"/>
      <c r="N84" s="2" t="inlineStr">
        <is>
          <t>FR-015 レビュー（観点 I）の別 ISSUE として登録。CLAUDE.md のフォーマット標準『入出力テーブルの形式欄はファイル形式・データ型のみを記載する』が根拠</t>
        </is>
      </c>
      <c r="O84" s="2" t="inlineStr">
        <is>
          <t>2026-06-14</t>
        </is>
      </c>
      <c r="P84" s="2" t="inlineStr">
        <is>
          <t>2026-06-14</t>
        </is>
      </c>
    </row>
    <row r="85" ht="40" customHeight="1">
      <c r="A85" s="2" t="inlineStr">
        <is>
          <t>ISSUE-084</t>
        </is>
      </c>
      <c r="B85" s="2" t="inlineStr">
        <is>
          <t>ピーク候補リスト・コル情報の内部トランザクション化検討</t>
        </is>
      </c>
      <c r="C85" s="2" t="inlineStr">
        <is>
          <t>解析範囲結合画像と同様に、ピーク候補リスト・コル情報も内部トランザクションとして分類すべきかを検討する。FR-005 出力のピーク候補リストと FR-006 出力のコル情報は独立した中央データ構造として保持されるか（内部データ）、FR 間の一時的な受け渡し値に過ぎないか（内部トランザクション）を ADR-SRS-017 の基準で判定する。</t>
        </is>
      </c>
      <c r="D85" s="2" t="inlineStr">
        <is>
          <t>設計</t>
        </is>
      </c>
      <c r="E85" s="5" t="inlineStr">
        <is>
          <t>低</t>
        </is>
      </c>
      <c r="F85" s="2" t="inlineStr"/>
      <c r="G85" s="2" t="inlineStr"/>
      <c r="H85" s="2" t="inlineStr">
        <is>
          <t>2026-06-08</t>
        </is>
      </c>
      <c r="I85" s="2" t="inlineStr">
        <is>
          <t>SRS</t>
        </is>
      </c>
      <c r="J85" s="2" t="inlineStr"/>
      <c r="K85" s="2" t="inlineStr">
        <is>
          <t>解決済</t>
        </is>
      </c>
      <c r="L85" s="2" t="inlineStr"/>
      <c r="M85" s="2" t="inlineStr"/>
      <c r="N85" s="2" t="inlineStr">
        <is>
          <t>FR-015 レビュー（観点 H）の別 ISSUE として登録。解析範囲結合画像の内部トランザクション化（ISSUE-083 相当修正）との一貫性検討として登録</t>
        </is>
      </c>
      <c r="O85" s="2" t="inlineStr">
        <is>
          <t>2026-06-14</t>
        </is>
      </c>
      <c r="P85" s="2" t="inlineStr">
        <is>
          <t>2026-06-14</t>
        </is>
      </c>
    </row>
    <row r="86" ht="40" customHeight="1">
      <c r="A86" s="6" t="inlineStr">
        <is>
          <t>ISSUE-085</t>
        </is>
      </c>
      <c r="B86" s="6" t="inlineStr">
        <is>
          <t>mesh_analyze.c::elev_to_rgb() の標高レーン定義ハードコード外出し</t>
        </is>
      </c>
      <c r="C86" s="6" t="inlineStr">
        <is>
          <t>src/mesh_analyze.c の elev_to_rgb() 内に直接記述されている標高レーン定義（stops[] / colors[][]）を外部化する。SRS 6.8 で標高レーン定義表を確定したため（FR-015 レビュー観点 J）、SRS で定義された値を実装側が参照する形にする。外出しの具体形式（設定ファイル / 専用ヘッダー / JSON 等）は HLD/LLD マター。</t>
        </is>
      </c>
      <c r="D86" s="6" t="inlineStr">
        <is>
          <t>改善</t>
        </is>
      </c>
      <c r="E86" s="4" t="inlineStr">
        <is>
          <t>中</t>
        </is>
      </c>
      <c r="F86" s="6" t="inlineStr"/>
      <c r="G86" s="6" t="inlineStr"/>
      <c r="H86" s="6" t="inlineStr">
        <is>
          <t>2026-06-08</t>
        </is>
      </c>
      <c r="I86" s="6" t="inlineStr">
        <is>
          <t>COD</t>
        </is>
      </c>
      <c r="J86" s="6" t="inlineStr"/>
      <c r="K86" s="6" t="inlineStr">
        <is>
          <t>未対応</t>
        </is>
      </c>
      <c r="L86" s="6" t="inlineStr"/>
      <c r="M86" s="6" t="inlineStr"/>
      <c r="N86" s="6" t="inlineStr">
        <is>
          <t>FR-015 レビュー（観点 J 実装側）の別 ISSUE として登録。SRS 6.8 に Japan Topo スキームの標高レーン定義表が確定済み</t>
        </is>
      </c>
      <c r="O86" s="6" t="inlineStr"/>
      <c r="P86" s="6" t="inlineStr"/>
    </row>
    <row r="87" ht="40" customHeight="1">
      <c r="A87" s="2" t="inlineStr">
        <is>
          <t>ISSUE-086</t>
        </is>
      </c>
      <c r="B87" s="2" t="inlineStr">
        <is>
          <t>mesh_analyze.h 内コメント「Terrain-RGB PNG」の修正</t>
        </is>
      </c>
      <c r="C87" s="2" t="inlineStr">
        <is>
          <t>src/mesh_analyze.h 内のコメントに含まれる「Terrain-RGB PNG」という誤用表現を修正する。「Terrain-RGB」は Mapbox 由来の入力タイル形式の業界用語であり、出力ファイルの呼称として誤っている。SRS 6.8 のタイトル変更（FR-015 レビュー観点 B）に合わせて実装側コメントも追従する。</t>
        </is>
      </c>
      <c r="D87" s="2" t="inlineStr">
        <is>
          <t>改善</t>
        </is>
      </c>
      <c r="E87" s="5" t="inlineStr">
        <is>
          <t>低</t>
        </is>
      </c>
      <c r="F87" s="2" t="inlineStr"/>
      <c r="G87" s="2" t="inlineStr"/>
      <c r="H87" s="2" t="inlineStr">
        <is>
          <t>2026-06-08</t>
        </is>
      </c>
      <c r="I87" s="2" t="inlineStr">
        <is>
          <t>SRS</t>
        </is>
      </c>
      <c r="J87" s="2" t="inlineStr"/>
      <c r="K87" s="2" t="inlineStr">
        <is>
          <t>解決済</t>
        </is>
      </c>
      <c r="L87" s="2" t="inlineStr"/>
      <c r="M87" s="2" t="inlineStr"/>
      <c r="N87" s="2" t="inlineStr">
        <is>
          <t>FR-015 レビュー（観点 B 実装側追従）の別 ISSUE として登録</t>
        </is>
      </c>
      <c r="O87" s="2" t="inlineStr">
        <is>
          <t>2026-06-12</t>
        </is>
      </c>
      <c r="P87" s="2" t="inlineStr">
        <is>
          <t>2026-06-13</t>
        </is>
      </c>
    </row>
    <row r="88" ht="40" customHeight="1">
      <c r="A88" s="2" t="inlineStr">
        <is>
          <t>ISSUE-087</t>
        </is>
      </c>
      <c r="B88" s="2" t="inlineStr">
        <is>
          <t>SRS FR-005 ピーク候補検出のレビュー反映</t>
        </is>
      </c>
      <c r="C88" s="2" t="inlineStr">
        <is>
          <t>SRS FR-005「ピーク候補検出」のレビュー結果を反映する。
## 前提条件
ISSUE-075（FR-004/FR-014 責務再編 + ADR-SRS-004 更新）完了が前提。
観点 L/M/N の確定は ISSUE-075 の再編結果に依存するため、ISSUE-075 完了後に着手すること。
## レビュー観点リスト
| 観点 | 内容 | 優先度 | 備考 |
|---|---|---|---|
| L | 制御フロー・オーケストレーション所在の明示 | 最重要 | ISSUE-075 完了後に確定 |
| M | FR-005/006 単一走査の明示（C から発展） | 高 | ISSUE-075 完了後に確定 |
| N | FR-007/016 への遷移条件 | 高 | ISSUE-075 完了後に確定 |
| A | 対応 UR（UR-002 除外検討） | 中 | 独立に判断可 |
| B | 概要の中粒度化 | 中 | 独立に判断可 |
| D | 説明の仕様抜け（NODATA・0m・決定論・1px ボーダー） | 中 | 独立に判断可 |
| E | 出力テーブル形式欄整理（CLAUDE.md 観点 I 違反） | 低 | 独立に判断可 |
| F | 「ピーク候補」と「ピーク」の使い分け | 中 | 独立に判断可 |
| G | 「山塊グループ」用語定義 | 低 | 独立に判断可 |
| H | 異常系セクションの有無 | 低 | 独立に判断可 |
| I | 広域モード言及 | 低 | ISSUE-075 完了後に整合確認 |
| J | アルゴリズム説明の SRS/HLD 所在 | 中 | 独立に判断可 |
| K | 内部データ分類見直し | — | ISSUE-084 既登録・本件対象外 |
## 観点 L の現状認識
- SRS では各 FR の責務は書かれているが、全体の制御がどう流れるかが見えない
- FR-004 概要「per-mesh パイプライン（FR-005〜FR-007・FR-016）に引き渡す」の「引き渡す」が曖昧
- FR-005 説明はピクセル単位の動作のみで、ループの主体（誰が回すか）が不明
- FR-006 説明「FR-005 の処理中に…」で走査共有が暗黙
- per-mesh パイプライン全体の処理フロー俯瞰図が SRS にない
## 改善方向（ISSUE-075 完了後に確定）
1. FR-004 に「per-mesh オーケストレーション役割」を明示（結合画像生成 → FR-005/006 走査 → FR-007 出力 → FR-016 ポリゴン生成）
2. FR-005/FR-006 を「同一の単一ピクセル走査ループ内で機能分担して実行」と明示
3. 4.3 セクション冒頭 or FR-004 説明末尾に per-mesh パイプライン処理フロー図を追加
## 議論経緯（2026-06-09 セッション）
FR-005 レビュー観点を整理する中で、ユーザーから「全体との関連がよくわからない。FR-004 と FR-005 の制御所在が不明」との指摘があり観点 L が浮上。L の改善方向は FR-004 のオーケストレーション役割明示を含み、ISSUE-075 の再編と一体作業になるため、ISSUE-075 完了後に本 ISSUE 着手とした。</t>
        </is>
      </c>
      <c r="D88" s="2" t="inlineStr">
        <is>
          <t>改善</t>
        </is>
      </c>
      <c r="E88" s="4" t="inlineStr">
        <is>
          <t>中</t>
        </is>
      </c>
      <c r="F88" s="2" t="inlineStr"/>
      <c r="G88" s="2" t="inlineStr">
        <is>
          <t>JJ1XGO</t>
        </is>
      </c>
      <c r="H88" s="2" t="inlineStr">
        <is>
          <t>2026-06-09</t>
        </is>
      </c>
      <c r="I88" s="2" t="inlineStr">
        <is>
          <t>SRS</t>
        </is>
      </c>
      <c r="J88" s="2" t="inlineStr">
        <is>
          <t>SRS</t>
        </is>
      </c>
      <c r="K88" s="2" t="inlineStr">
        <is>
          <t>解決済</t>
        </is>
      </c>
      <c r="L88" s="2" t="inlineStr"/>
      <c r="M88" s="2" t="inlineStr"/>
      <c r="N88" s="2" t="inlineStr"/>
      <c r="O88" s="2" t="inlineStr">
        <is>
          <t>2026-06-13</t>
        </is>
      </c>
      <c r="P88" s="2" t="inlineStr">
        <is>
          <t>2026-06-14</t>
        </is>
      </c>
    </row>
    <row r="89" ht="40" customHeight="1">
      <c r="A89" s="2" t="inlineStr">
        <is>
          <t>ISSUE-088</t>
        </is>
      </c>
      <c r="B89" s="2" t="inlineStr">
        <is>
          <t>SRS FR-004 メッシュ結合解析のレビュー反映</t>
        </is>
      </c>
      <c r="C89" s="2" t="inlineStr">
        <is>
          <t>FR-004（メッシュ結合解析）のレビュー結果（観点 A〜J）を SRS / ADR-SRS-003 に反映する。
## レビュー観点リスト
| 観点 | 内容 | 重要度 |
|---|---|---|
| A | ADR-SRS-003 との矛盾: ADR「出力は中心メッシュ内のピークのみ」vs SRS「解析対象メッシュ全体の地理的範囲内のピークを出力」。SRS が正（analysis_count 最大9回・FR-008 重複排除と整合）。ADR の Decision を更新 | 高 |
| B | 入力テーブル不足: 「標高タイル（ローカルキャッシュ）」が FR-004 入力に無い（7.2 一覧・FR-002 入力と不整合）→ 追加 | 高 |
| C | 誤参照: 「安定性を評価する（FR-009 参照）」→ stability の定義・算出は FR-008 → 修正 | 中 |
| D | ピーク出力範囲（地理的範囲フィルタ＝フリンジ除外）の記述所在: FR-007 の責務だが FR-007 に記述なし → 整理 | 中 |
| E | FR-015 呼び出しがオーケストレーション記述から漏れ → タイミング含め明示 | 中 |
| F | 出力備考「解析対象メッシュ範囲情報を伴う」が未定義 → 定義明文化 | 中 |
| G | 結合画像範囲の曖昧さ: リスト外メッシュの NODATA 扱いと範囲定義（bounding box）を明文化 | 中 |
| H | 「全176メッシュ」ハードコード → 「メッシュコードリストの全メッシュ」表現に修正 | 低 |
| I | 入力備考: 1次メッシュコードリストに [7.1.1 参照] 付与 | 低 |
| J | オーケストレーション役割の明示 + per-mesh パイプライン処理フロー図追加（ISSUE-087 観点 L の FR-004 側作業を本 ISSUE に取り込み） | 高 |
## 運用合意（2026-06-11）
観点 A〜J は個別確認を省略し Fable 提案通りに一括修正。次回セッションで修正後の FR-004 を再レビューする（実質の verify）。ISSUE-075・ISSUE-087 への注記・verify は FR-004 と FR-014 両方のレビュー完了後に行う。</t>
        </is>
      </c>
      <c r="D89" s="2" t="inlineStr">
        <is>
          <t>改善</t>
        </is>
      </c>
      <c r="E89" s="4" t="inlineStr">
        <is>
          <t>中</t>
        </is>
      </c>
      <c r="F89" s="2" t="inlineStr">
        <is>
          <t>その他</t>
        </is>
      </c>
      <c r="G89" s="2" t="inlineStr">
        <is>
          <t>Fable</t>
        </is>
      </c>
      <c r="H89" s="2" t="inlineStr">
        <is>
          <t>2026-06-11</t>
        </is>
      </c>
      <c r="I89" s="2" t="inlineStr">
        <is>
          <t>SRS</t>
        </is>
      </c>
      <c r="J89" s="2" t="inlineStr">
        <is>
          <t>SRS</t>
        </is>
      </c>
      <c r="K89" s="2" t="inlineStr">
        <is>
          <t>解決済</t>
        </is>
      </c>
      <c r="L89" s="2" t="inlineStr">
        <is>
          <t>Fable</t>
        </is>
      </c>
      <c r="M89" s="2" t="inlineStr">
        <is>
          <t>SRS FR-004 セクション・FR-007（観点 D）・ADR-SRS-003（観点 A）を修正し、処理フロー図を追加する</t>
        </is>
      </c>
      <c r="N89" s="2" t="inlineStr"/>
      <c r="O89" s="2" t="inlineStr">
        <is>
          <t>2026-06-11</t>
        </is>
      </c>
      <c r="P89" s="2" t="inlineStr">
        <is>
          <t>2026-06-13</t>
        </is>
      </c>
    </row>
    <row r="90" ht="40" customHeight="1">
      <c r="A90" s="2" t="inlineStr">
        <is>
          <t>ISSUE-089</t>
        </is>
      </c>
      <c r="B90" s="2" t="inlineStr">
        <is>
          <t>SRS FR-004 第2回レビュー反映（タイトル・入力・解析識別子・異常系）</t>
        </is>
      </c>
      <c r="C90" s="2" t="inlineStr">
        <is>
          <t>FR-004 の第2回レビュー（ISSUE-088 の実質 verify）で確定した4件の修正を反映する。①タイトルを「3×3メッシュ結合解析オーケストレーション」に変更、②入力の1次メッシュコードリストを任意化（デフォルト=日本全土リスト）、③解析識別子（FR-004: 3-&lt;meshcode&gt;、FR-014: N-&lt;meshcode&gt;-&lt;corner&gt;）を導入してFR-007/FR-015/FR-016のファイル名を統一、④異常系をフェイルファーストに書き換え（タイルゼロ=処理中止+原因調査促し）。</t>
        </is>
      </c>
      <c r="D90" s="2" t="inlineStr"/>
      <c r="E90" s="4" t="inlineStr">
        <is>
          <t>中</t>
        </is>
      </c>
      <c r="F90" s="2" t="inlineStr">
        <is>
          <t>その他</t>
        </is>
      </c>
      <c r="G90" s="2" t="inlineStr"/>
      <c r="H90" s="2" t="inlineStr">
        <is>
          <t>2026-06-12</t>
        </is>
      </c>
      <c r="I90" s="2" t="inlineStr"/>
      <c r="J90" s="2" t="inlineStr"/>
      <c r="K90" s="2" t="inlineStr">
        <is>
          <t>解決済</t>
        </is>
      </c>
      <c r="L90" s="2" t="inlineStr"/>
      <c r="M90" s="2" t="inlineStr"/>
      <c r="N90" s="2" t="inlineStr"/>
      <c r="O90" s="2" t="inlineStr">
        <is>
          <t>2026-06-12</t>
        </is>
      </c>
      <c r="P90" s="2" t="inlineStr">
        <is>
          <t>2026-06-13</t>
        </is>
      </c>
    </row>
    <row r="91" ht="40" customHeight="1">
      <c r="A91" s="2" t="inlineStr">
        <is>
          <t>ISSUE-090</t>
        </is>
      </c>
      <c r="B91" s="2" t="inlineStr">
        <is>
          <t>SRS FR-014 広域結合解析のレビュー反映</t>
        </is>
      </c>
      <c r="C91" s="2" t="inlineStr">
        <is>
          <t>FR-014 のレビュー（FR-004 確定書式・ADR-SRS-004・FR-007/008/022 との整合性検査）で検出した修正を反映する。A群（機械的整合）: 入力テーブル是正（1次メッシュコードリスト→日本全土リスト・標高タイル行追加）、出力テーブルを FR-004 書式（内部トランザクション3行+対象ピーク座標リスト）に是正、FR-007 入力テーブルに対象ピーク座標リスト行追加、コーナー配置根拠式の誤記修正、コーナー座標表記を方角ベースに統一（ADR と矛盾解消）、FR-015 呼び出しを明記（広域でも標高地形図を出力・ユーザー確認済み）。B群（仕様判断・Fable 推奨案で修正し修正後レビューで確認）: 無効パターンスキップ条件の再定義（NODATA 充填続行+新規存在メッシュゼロのみスキップ）、同一メッシュ所属の複数未確定ピークのグルーピング、L14 解析時の L15 座標保持、FR-007 カラム表に zoom_level 追加、異常系フェイルファースト追加。C群: ISSUE-051/052 の取り込み。</t>
        </is>
      </c>
      <c r="D91" s="2" t="inlineStr">
        <is>
          <t>改善</t>
        </is>
      </c>
      <c r="E91" s="4" t="inlineStr">
        <is>
          <t>中</t>
        </is>
      </c>
      <c r="F91" s="2" t="inlineStr">
        <is>
          <t>その他</t>
        </is>
      </c>
      <c r="G91" s="2" t="inlineStr"/>
      <c r="H91" s="2" t="inlineStr">
        <is>
          <t>2026-06-12</t>
        </is>
      </c>
      <c r="I91" s="2" t="inlineStr">
        <is>
          <t>SRS</t>
        </is>
      </c>
      <c r="J91" s="2" t="inlineStr"/>
      <c r="K91" s="2" t="inlineStr">
        <is>
          <t>解決済</t>
        </is>
      </c>
      <c r="L91" s="2" t="inlineStr"/>
      <c r="M91" s="2" t="inlineStr">
        <is>
          <t>docs/20_SRS.md（FR-014/007/015/022・俯瞰図）と ADR-SRS-004 を改訂。修正後にユーザーレビューを実施し第2回反映を行う。持ち越し議論: 解析範囲サイズ N の種別・B群推奨案の妥当性。</t>
        </is>
      </c>
      <c r="N91" s="2" t="inlineStr">
        <is>
          <t>【第2回レビュー反映完了 (2026-06-12 Sonnet)】
第2回レビュー確定事項:
A. 解析範囲サイズ N の種別: ユーザー入力 → 内部トランザクションに変更。FR-022 が key_col_unresolved_peaks-&lt;N&gt;.csv のファイル名から N を抽出し N+1 を渡す。データ辞書 2.2.1 の「解析範囲サイズ N」行を削除
B. 無効パターンスキップ一般化: 「3×3 解析済み範囲から 1 枚も増えない」→「それまでに解析済みのどの範囲（3×3 + 既解析広域窓）と比べても 1 枚も増えない配置はスキップ」に拡張（N 段階間の重複も排除）
C. 異常系追加: ウィンドウ（bounding box）内の存在メッシュにローカルタイルが 1 枚も無い → エラー中止（prefetch 漏れ検出 + 海面確定規則誤発動防止）
D. FR-007 広域モード: 対象ピーク絞り込みの一致判定方法を明記（緯度経度→ L15 タイル座標変換して比較）
E. max pooling 同値時: 採用ピクセルの決定は決定的とする（具体規則は HLD/LLD）
F. FR-022 出力: key_col_unresolved_peaks-&lt;N&gt;.csv を内部データとして追加
G. 陸地最高峰対策（ISSUE-091 として別途登録・本作業内で SRS 反映済み）: FR-006 海面確定規則 + FR-022 陸地最高峰リスト適用 + 7.1.4 追加 + ADR-SRS-019 新規作成
SRS 変更箇所: FR-006・FR-007・FR-014・FR-022・2.2.1・7.1・7.2</t>
        </is>
      </c>
      <c r="O91" s="2" t="inlineStr">
        <is>
          <t>2026-06-12</t>
        </is>
      </c>
      <c r="P91" s="2" t="inlineStr">
        <is>
          <t>2026-06-13</t>
        </is>
      </c>
    </row>
    <row r="92" ht="40" customHeight="1">
      <c r="A92" s="2" t="inlineStr">
        <is>
          <t>ISSUE-091</t>
        </is>
      </c>
      <c r="B92" s="2" t="inlineStr">
        <is>
          <t>SRS 陸地最高峰の Key コル確定方式（FR-006 海面確定規則 + 陸地最高峰リスト）</t>
        </is>
      </c>
      <c r="C92" s="2" t="inlineStr"/>
      <c r="D92" s="2" t="inlineStr">
        <is>
          <t>機能追加</t>
        </is>
      </c>
      <c r="E92" s="3" t="inlineStr">
        <is>
          <t>高</t>
        </is>
      </c>
      <c r="F92" s="2" t="inlineStr"/>
      <c r="G92" s="2" t="inlineStr"/>
      <c r="H92" s="2" t="inlineStr">
        <is>
          <t>2026-06-12</t>
        </is>
      </c>
      <c r="I92" s="2" t="inlineStr">
        <is>
          <t>SRS</t>
        </is>
      </c>
      <c r="J92" s="2" t="inlineStr"/>
      <c r="K92" s="2" t="inlineStr">
        <is>
          <t>解決済</t>
        </is>
      </c>
      <c r="L92" s="2" t="inlineStr">
        <is>
          <t>Sonnet</t>
        </is>
      </c>
      <c r="M92" s="2" t="inlineStr"/>
      <c r="N92" s="2" t="inlineStr">
        <is>
          <t>ISSUE-090 第2回レビュー中に発見した仕様ギャップ。現行仕様では富士山・旭岳・中岳（九重）が永遠に key_col_resolved=false のまま FR-009 で異常終了する。二層構造で対応: (1) FR-006 海面確定規則（山塊が範囲端に触れずに flood 完結 → Key コル = 0m 自動確定）、(2) 陸地最高峰リスト（ユーザー入力パラメータ・3 件）を FR-022 が広域ループ前に海面確定に手動更新。ADR-SRS-019-land-summit-highest-peak-handling.md を新規作成済み。SRS の FR-006・FR-022・7.1・7.2 を本 ISSUE-090 レビュー反映作業内で更新済み。検証ポイント: 石鎚山が実データで 3×3 海面確定規則により自動確定するかを実装後に確認（しなければリストに追加）。</t>
        </is>
      </c>
      <c r="O92" s="2" t="inlineStr">
        <is>
          <t>2026-06-12</t>
        </is>
      </c>
      <c r="P92" s="2" t="inlineStr">
        <is>
          <t>2026-06-13</t>
        </is>
      </c>
    </row>
    <row r="93" ht="40" customHeight="1">
      <c r="A93" s="7" t="inlineStr">
        <is>
          <t>ISSUE-092</t>
        </is>
      </c>
      <c r="B93" s="7" t="inlineStr">
        <is>
          <t>FR-010 出力テーブルの形式欄が形式記述になっていない</t>
        </is>
      </c>
      <c r="C93" s="7" t="inlineStr">
        <is>
          <t>FR-010（削除候補のスコープ）の出力テーブルの「形式」欄が「[FR-009] 内のフィルタとして機能」となっており、ファイル形式・データ型の記述になっていない。ISSUE-083 対応時にスコープ外と判断し別課題として登録。</t>
        </is>
      </c>
      <c r="D93" s="7" t="inlineStr">
        <is>
          <t>改善</t>
        </is>
      </c>
      <c r="E93" s="5" t="inlineStr">
        <is>
          <t>低</t>
        </is>
      </c>
      <c r="F93" s="7" t="inlineStr"/>
      <c r="G93" s="7" t="inlineStr">
        <is>
          <t>Sonnet</t>
        </is>
      </c>
      <c r="H93" s="7" t="inlineStr">
        <is>
          <t>2026-06-14</t>
        </is>
      </c>
      <c r="I93" s="7" t="inlineStr">
        <is>
          <t>SRS</t>
        </is>
      </c>
      <c r="J93" s="7" t="inlineStr"/>
      <c r="K93" s="7" t="inlineStr">
        <is>
          <t>未対応</t>
        </is>
      </c>
      <c r="L93" s="7" t="inlineStr">
        <is>
          <t>Sonnet</t>
        </is>
      </c>
      <c r="M93" s="7" t="inlineStr"/>
      <c r="N93" s="7" t="inlineStr">
        <is>
          <t>FR-010 レビュー時に検討。ISSUE-083 で対象外とした別種の問題（形式欄の意味論）。</t>
        </is>
      </c>
      <c r="O93" s="7" t="inlineStr"/>
      <c r="P93" s="7" t="inlineStr"/>
    </row>
    <row r="94" ht="40" customHeight="1">
      <c r="A94" s="6" t="inlineStr">
        <is>
          <t>ISSUE-093</t>
        </is>
      </c>
      <c r="B94" s="6" t="inlineStr">
        <is>
          <t>FR-019 出力テーブルの形式欄が形式記述になっていない</t>
        </is>
      </c>
      <c r="C94" s="6" t="inlineStr">
        <is>
          <t>FR-019（HTML ビューア機能仕様）の出力テーブルの「各エクスポート」行の「形式」欄が他 FR へのリンク列記となっており、ファイル形式・データ型の記述になっていない。ISSUE-083 対応時にスコープ外と判断し別課題として登録。</t>
        </is>
      </c>
      <c r="D94" s="6" t="inlineStr">
        <is>
          <t>改善</t>
        </is>
      </c>
      <c r="E94" s="5" t="inlineStr">
        <is>
          <t>低</t>
        </is>
      </c>
      <c r="F94" s="6" t="inlineStr"/>
      <c r="G94" s="6" t="inlineStr">
        <is>
          <t>Sonnet</t>
        </is>
      </c>
      <c r="H94" s="6" t="inlineStr">
        <is>
          <t>2026-06-14</t>
        </is>
      </c>
      <c r="I94" s="6" t="inlineStr">
        <is>
          <t>SRS</t>
        </is>
      </c>
      <c r="J94" s="6" t="inlineStr"/>
      <c r="K94" s="6" t="inlineStr">
        <is>
          <t>未対応</t>
        </is>
      </c>
      <c r="L94" s="6" t="inlineStr">
        <is>
          <t>Sonnet</t>
        </is>
      </c>
      <c r="M94" s="6" t="inlineStr"/>
      <c r="N94" s="6" t="inlineStr">
        <is>
          <t>FR-019 レビュー時に検討。ISSUE-083 で対象外とした別種の問題（形式欄の意味論）。</t>
        </is>
      </c>
      <c r="O94" s="6" t="inlineStr"/>
      <c r="P94" s="6" t="inlineStr"/>
    </row>
    <row r="95" ht="40" customHeight="1">
      <c r="A95" s="2" t="inlineStr">
        <is>
          <t>ISSUE-094</t>
        </is>
      </c>
      <c r="B95" s="2" t="inlineStr">
        <is>
          <t>FR-005/006/007/016: ピーク↔コル紐付けモデルを per-peak 対応レコードへ一本化</t>
        </is>
      </c>
      <c r="C95" s="2" t="inlineStr">
        <is>
          <t>FR-006 出力「コル情報」は FR-007・FR-016 でピーク候補リストと別々に入力されているが、アルゴリズム上ピーク↔Key コルは 1:1 対応であり、ジョインキーが未定義・3成分同時接触エッジケースで曖昧になる問題がある。FR-006 出力を「ピーク候補・コル情報リスト」（1レコード＝1ピーク＋その Key コル）に一本化し、FR-016 の独立「ピーク候補リスト」入力を削除する。ADR-SRS-020 を新設して設計根拠を記録する。</t>
        </is>
      </c>
      <c r="D95" s="2" t="inlineStr">
        <is>
          <t>改善</t>
        </is>
      </c>
      <c r="E95" s="3" t="inlineStr">
        <is>
          <t>高</t>
        </is>
      </c>
      <c r="F95" s="2" t="inlineStr"/>
      <c r="G95" s="2" t="inlineStr">
        <is>
          <t>Opus</t>
        </is>
      </c>
      <c r="H95" s="2" t="inlineStr">
        <is>
          <t>2026-06-14</t>
        </is>
      </c>
      <c r="I95" s="2" t="inlineStr">
        <is>
          <t>SRS</t>
        </is>
      </c>
      <c r="J95" s="2" t="inlineStr"/>
      <c r="K95" s="2" t="inlineStr">
        <is>
          <t>解決済</t>
        </is>
      </c>
      <c r="L95" s="2" t="inlineStr">
        <is>
          <t>Opus</t>
        </is>
      </c>
      <c r="M95" s="2" t="inlineStr"/>
      <c r="N95" s="2" t="inlineStr"/>
      <c r="O95" s="2" t="inlineStr">
        <is>
          <t>2026-06-14</t>
        </is>
      </c>
      <c r="P95" s="2" t="inlineStr">
        <is>
          <t>2026-06-15</t>
        </is>
      </c>
    </row>
    <row r="96" ht="40" customHeight="1">
      <c r="A96" s="2" t="inlineStr">
        <is>
          <t>ISSUE-095</t>
        </is>
      </c>
      <c r="B96" s="2" t="inlineStr">
        <is>
          <t>FR-006: コル確定/未確定の判定基準（境界辺接触 topology）と未確定行の値定義</t>
        </is>
      </c>
      <c r="C96" s="2" t="inlineStr">
        <is>
          <t>FR-006 の説明（587-588行）に以下の2点が欠落している。(1) resolved 判定基準: 連結成分がグリッド最外周 1px 海面ボーダーに接触→resolved=false、接触せず内部完結→resolved=true（Key コル=海面0m）という境界辺接触 topology で記述する必要がある。(2) resolved=false 時の col_elev/prominence: 真の Key コルは窓外のため未確定。sentinel（空欄 or NODATA）で表現する。また FR-006 入力テーブルに「解析範囲標高グリッド」が欠落している（コル標高算出・境界接触判定に必要）。</t>
        </is>
      </c>
      <c r="D96" s="2" t="inlineStr">
        <is>
          <t>改善</t>
        </is>
      </c>
      <c r="E96" s="3" t="inlineStr">
        <is>
          <t>高</t>
        </is>
      </c>
      <c r="F96" s="2" t="inlineStr"/>
      <c r="G96" s="2" t="inlineStr">
        <is>
          <t>Opus</t>
        </is>
      </c>
      <c r="H96" s="2" t="inlineStr">
        <is>
          <t>2026-06-14</t>
        </is>
      </c>
      <c r="I96" s="2" t="inlineStr">
        <is>
          <t>SRS</t>
        </is>
      </c>
      <c r="J96" s="2" t="inlineStr"/>
      <c r="K96" s="2" t="inlineStr">
        <is>
          <t>解決済</t>
        </is>
      </c>
      <c r="L96" s="2" t="inlineStr">
        <is>
          <t>Opus</t>
        </is>
      </c>
      <c r="M96" s="2" t="inlineStr"/>
      <c r="N96" s="2" t="inlineStr"/>
      <c r="O96" s="2" t="inlineStr">
        <is>
          <t>2026-06-14</t>
        </is>
      </c>
      <c r="P96" s="2" t="inlineStr">
        <is>
          <t>2026-06-15</t>
        </is>
      </c>
    </row>
    <row r="97" ht="40" customHeight="1">
      <c r="A97" s="2" t="inlineStr">
        <is>
          <t>ISSUE-096</t>
        </is>
      </c>
      <c r="B97" s="2" t="inlineStr">
        <is>
          <t>FR-007: col_margin_px の位置づけ確定（診断・将来用）と 629行誤記述の訂正</t>
        </is>
      </c>
      <c r="C97" s="2" t="inlineStr">
        <is>
          <t>col_margin_px は FR-008 の stability 判定では未使用（stability は key_col_resolved と analysis_count/expected_count のみで決まる）。ADR-SRS-004 98行に『将来の最適化余地』として言及されており、診断・将来用フィールドとして CSV に残す。FR-007 出力カラム（629行）の『FR-008 の stability 判定時に col_margin_px を L15 相当へ換算する』という記述は誤りのため、診断用フィールドである旨に訂正する。</t>
        </is>
      </c>
      <c r="D97" s="2" t="inlineStr">
        <is>
          <t>改善</t>
        </is>
      </c>
      <c r="E97" s="4" t="inlineStr">
        <is>
          <t>中</t>
        </is>
      </c>
      <c r="F97" s="2" t="inlineStr"/>
      <c r="G97" s="2" t="inlineStr">
        <is>
          <t>Opus</t>
        </is>
      </c>
      <c r="H97" s="2" t="inlineStr">
        <is>
          <t>2026-06-14</t>
        </is>
      </c>
      <c r="I97" s="2" t="inlineStr">
        <is>
          <t>SRS</t>
        </is>
      </c>
      <c r="J97" s="2" t="inlineStr"/>
      <c r="K97" s="2" t="inlineStr">
        <is>
          <t>解決済</t>
        </is>
      </c>
      <c r="L97" s="2" t="inlineStr">
        <is>
          <t>Opus</t>
        </is>
      </c>
      <c r="M97" s="2" t="inlineStr"/>
      <c r="N97" s="2" t="inlineStr"/>
      <c r="O97" s="2" t="inlineStr">
        <is>
          <t>2026-06-14</t>
        </is>
      </c>
      <c r="P97" s="2" t="inlineStr">
        <is>
          <t>2026-06-15</t>
        </is>
      </c>
    </row>
    <row r="98" ht="40" customHeight="1">
      <c r="A98" s="2" t="inlineStr">
        <is>
          <t>ISSUE-098</t>
        </is>
      </c>
      <c r="B98" s="2" t="inlineStr">
        <is>
          <t>FR-007 一次フィルタの key_col_resolved=false 適用未定義</t>
        </is>
      </c>
      <c r="C98" s="2" t="inlineStr">
        <is>
          <t>FR-007の一次フィルタ記述が「一次フィルタ閾値を超えたピーク候補のみ出力」となっており、key_col_resolved=false行（prominence空欄）への適用が未定義。文面通りだと独立峰が出力されず FR-014 広域解析に回らずパイプライン破綻する。</t>
        </is>
      </c>
      <c r="D98" s="2" t="inlineStr">
        <is>
          <t>設計</t>
        </is>
      </c>
      <c r="E98" s="3" t="inlineStr">
        <is>
          <t>高</t>
        </is>
      </c>
      <c r="F98" s="2" t="inlineStr"/>
      <c r="G98" s="2" t="inlineStr">
        <is>
          <t>Sonnet</t>
        </is>
      </c>
      <c r="H98" s="2" t="inlineStr">
        <is>
          <t>2026-06-15</t>
        </is>
      </c>
      <c r="I98" s="2" t="inlineStr">
        <is>
          <t>SRS</t>
        </is>
      </c>
      <c r="J98" s="2" t="inlineStr"/>
      <c r="K98" s="2" t="inlineStr">
        <is>
          <t>解決済</t>
        </is>
      </c>
      <c r="L98" s="2" t="inlineStr"/>
      <c r="M98" s="2" t="inlineStr">
        <is>
          <t>key_col_resolved=false 行はフィルタを適用せず無条件出力。一次フィルタは key_col_resolved=true（prominence確定済み）行にのみ適用。SRS FR-007 説明・概要に明記する。</t>
        </is>
      </c>
      <c r="N98" s="2" t="inlineStr"/>
      <c r="O98" s="2" t="inlineStr">
        <is>
          <t>2026-06-15</t>
        </is>
      </c>
      <c r="P98" s="2" t="inlineStr">
        <is>
          <t>2026-06-15</t>
        </is>
      </c>
    </row>
    <row r="99" ht="40" customHeight="1">
      <c r="A99" s="2" t="inlineStr">
        <is>
          <t>ISSUE-099</t>
        </is>
      </c>
      <c r="B99" s="2" t="inlineStr">
        <is>
          <t>FR-007 per-mesh CSV カラム設計整理（analysis_id 集約・points 除外）</t>
        </is>
      </c>
      <c r="C99" s="2" t="inlineStr">
        <is>
          <t>FR-007 出力カラムに設計上の問題が3点ある。(1) center_mesh: 広域モードでは「中心メッシュ」が存在せず名称が誤り。(2) zoom_level: analysis_id 接頭辞から導出可能な冗長列。(3) points: peak_elevからの純粋派生値でFR-008は読まず・FR-009で再計算するデッドカラム。</t>
        </is>
      </c>
      <c r="D99" s="2" t="inlineStr">
        <is>
          <t>設計</t>
        </is>
      </c>
      <c r="E99" s="3" t="inlineStr">
        <is>
          <t>高</t>
        </is>
      </c>
      <c r="F99" s="2" t="inlineStr"/>
      <c r="G99" s="2" t="inlineStr">
        <is>
          <t>Sonnet</t>
        </is>
      </c>
      <c r="H99" s="2" t="inlineStr">
        <is>
          <t>2026-06-15</t>
        </is>
      </c>
      <c r="I99" s="2" t="inlineStr">
        <is>
          <t>SRS</t>
        </is>
      </c>
      <c r="J99" s="2" t="inlineStr"/>
      <c r="K99" s="2" t="inlineStr">
        <is>
          <t>解決済</t>
        </is>
      </c>
      <c r="L99" s="2" t="inlineStr"/>
      <c r="M99" s="2" t="inlineStr">
        <is>
          <t>center_mesh + zoom_level を廃止し analysis_id（解析識別子: 3-5239 / 4-5239-NW）1列に集約。points を FR-007 出力から削除し消費段（FR-009/出力生成）で peak_elev から算出する。ADR-SRS-021 として記録。</t>
        </is>
      </c>
      <c r="N99" s="2" t="inlineStr"/>
      <c r="O99" s="2" t="inlineStr">
        <is>
          <t>2026-06-15</t>
        </is>
      </c>
      <c r="P99" s="2" t="inlineStr">
        <is>
          <t>2026-06-15</t>
        </is>
      </c>
    </row>
    <row r="100" ht="40" customHeight="1">
      <c r="A100" s="6" t="inlineStr">
        <is>
          <t>ISSUE-100</t>
        </is>
      </c>
      <c r="B100" s="6" t="inlineStr">
        <is>
          <t>FR-016 per-mesh GeoJSON プロパティ設計（join 方式）</t>
        </is>
      </c>
      <c r="C100" s="6" t="inlineStr">
        <is>
          <t>FR-016 出力プロパティが未定義のまま FR-009 が merged_activation.geojson と merged_peak.csv を突合する設計だった。プロパティを peak_lat/peak_lon（join キー）+ feature_type + area_complete の4フィールドに限定し、属性は CSV に集約する join 方式を採用（ADR-SRS-022）。</t>
        </is>
      </c>
      <c r="D100" s="6" t="inlineStr">
        <is>
          <t>設計</t>
        </is>
      </c>
      <c r="E100" s="3" t="inlineStr">
        <is>
          <t>高</t>
        </is>
      </c>
      <c r="F100" s="6" t="inlineStr"/>
      <c r="G100" s="6" t="inlineStr">
        <is>
          <t>Sonnet</t>
        </is>
      </c>
      <c r="H100" s="6" t="inlineStr">
        <is>
          <t>2026-06-15</t>
        </is>
      </c>
      <c r="I100" s="6" t="inlineStr">
        <is>
          <t>SRS</t>
        </is>
      </c>
      <c r="J100" s="6" t="inlineStr"/>
      <c r="K100" s="6" t="inlineStr">
        <is>
          <t>対応完了</t>
        </is>
      </c>
      <c r="L100" s="6" t="inlineStr">
        <is>
          <t>Sonnet</t>
        </is>
      </c>
      <c r="M100" s="6" t="inlineStr">
        <is>
          <t>SRS FR-016/018/009 を join 方式に整合して更新。ADR-SRS-022 作成済み。</t>
        </is>
      </c>
      <c r="N100" s="6" t="inlineStr"/>
      <c r="O100" s="6" t="inlineStr"/>
      <c r="P100" s="6" t="inlineStr"/>
    </row>
    <row r="101" ht="40" customHeight="1">
      <c r="A101" s="7" t="inlineStr">
        <is>
          <t>ISSUE-101</t>
        </is>
      </c>
      <c r="B101" s="7" t="inlineStr">
        <is>
          <t>FR-016 delete_zone 再生成不要の根拠明記</t>
        </is>
      </c>
      <c r="C101" s="7" t="inlineStr">
        <is>
          <t>key_col_resolved=false のピークはコル確定後も delete_zone を再生成しない。理由が SRS に記載されていなかった。</t>
        </is>
      </c>
      <c r="D101" s="7" t="inlineStr">
        <is>
          <t>設計</t>
        </is>
      </c>
      <c r="E101" s="4" t="inlineStr">
        <is>
          <t>中</t>
        </is>
      </c>
      <c r="F101" s="7" t="inlineStr"/>
      <c r="G101" s="7" t="inlineStr">
        <is>
          <t>Sonnet</t>
        </is>
      </c>
      <c r="H101" s="7" t="inlineStr">
        <is>
          <t>2026-06-15</t>
        </is>
      </c>
      <c r="I101" s="7" t="inlineStr">
        <is>
          <t>SRS</t>
        </is>
      </c>
      <c r="J101" s="7" t="inlineStr"/>
      <c r="K101" s="7" t="inlineStr">
        <is>
          <t>対応完了</t>
        </is>
      </c>
      <c r="L101" s="7" t="inlineStr">
        <is>
          <t>Sonnet</t>
        </is>
      </c>
      <c r="M101" s="7" t="inlineStr">
        <is>
          <t>FR-016 の詳細説明に許容根拠（3×3 でコル未検出＝実質プロミネンス大で max_drop キャップが実効的、過大化しない）を追記済み。</t>
        </is>
      </c>
      <c r="N101" s="7" t="inlineStr"/>
      <c r="O101" s="7" t="inlineStr"/>
      <c r="P101" s="7" t="inlineStr"/>
    </row>
    <row r="102" ht="40" customHeight="1">
      <c r="A102" s="6" t="inlineStr">
        <is>
          <t>ISSUE-102</t>
        </is>
      </c>
      <c r="B102" s="6" t="inlineStr">
        <is>
          <t>アクティベーションゾーン標高差の設定可能項目化</t>
        </is>
      </c>
      <c r="C102" s="6" t="inlineStr">
        <is>
          <t>AZ Flood Fill の標高差閾値 25m がハードコードされていた。プロミネンス最終フィルタと同様に設定可能項目としてデータ辞書（SRS 2.2.1）で管理するべきとのユーザー指摘。</t>
        </is>
      </c>
      <c r="D102" s="6" t="inlineStr">
        <is>
          <t>機能追加</t>
        </is>
      </c>
      <c r="E102" s="4" t="inlineStr">
        <is>
          <t>中</t>
        </is>
      </c>
      <c r="F102" s="6" t="inlineStr"/>
      <c r="G102" s="6" t="inlineStr">
        <is>
          <t>Sonnet</t>
        </is>
      </c>
      <c r="H102" s="6" t="inlineStr">
        <is>
          <t>2026-06-15</t>
        </is>
      </c>
      <c r="I102" s="6" t="inlineStr">
        <is>
          <t>SRS</t>
        </is>
      </c>
      <c r="J102" s="6" t="inlineStr"/>
      <c r="K102" s="6" t="inlineStr">
        <is>
          <t>対応完了</t>
        </is>
      </c>
      <c r="L102" s="6" t="inlineStr">
        <is>
          <t>Sonnet</t>
        </is>
      </c>
      <c r="M102" s="6" t="inlineStr">
        <is>
          <t>SRS 2.2.1 データ辞書に「アクティベーションゾーン標高差」を追加（デフォルト 25m・SOTA 規定値）。FR-016 の 25m 記述をデータ辞書参照化済み。GLOSSARY のアクティベーションゾーン定義にもデータ辞書リンクを追記済み。</t>
        </is>
      </c>
      <c r="N102" s="6" t="inlineStr"/>
      <c r="O102" s="6" t="inlineStr"/>
      <c r="P102" s="6" t="inlineStr"/>
    </row>
    <row r="103" ht="40" customHeight="1">
      <c r="A103" s="7" t="inlineStr">
        <is>
          <t>ISSUE-103</t>
        </is>
      </c>
      <c r="B103" s="7" t="inlineStr">
        <is>
          <t>FR-008統合対象メッシュコードリストの入力分離（フィルタ用途とexpected_count基準の分離）</t>
        </is>
      </c>
      <c r="C103" s="7" t="inlineStr">
        <is>
          <t>FR-008の入力『1次メッシュコードリスト』がフィルタ用途とexpected_count算出基準の2役割を兼ねており曖昧だった。レビューで対象1次メッシュコードリスト（入力フィルタ・指定時は広域per-mesh除外）と日本全土1次メッシュコードリスト（expected_count基準・常に全土）に分離する設計に決定。代表採用ロジック（key_col_resolved優先→col_elev降順→通常モード優先→analysis_id昇順→全件false時はfalse維持）も確定。</t>
        </is>
      </c>
      <c r="D103" s="7" t="inlineStr">
        <is>
          <t>設計</t>
        </is>
      </c>
      <c r="E103" s="4" t="inlineStr">
        <is>
          <t>中</t>
        </is>
      </c>
      <c r="F103" s="7" t="inlineStr">
        <is>
          <t>merge.py</t>
        </is>
      </c>
      <c r="G103" s="7" t="inlineStr">
        <is>
          <t>Opus</t>
        </is>
      </c>
      <c r="H103" s="7" t="inlineStr">
        <is>
          <t>2026-06-16</t>
        </is>
      </c>
      <c r="I103" s="7" t="inlineStr">
        <is>
          <t>SRS</t>
        </is>
      </c>
      <c r="J103" s="7" t="inlineStr"/>
      <c r="K103" s="7" t="inlineStr">
        <is>
          <t>対応完了</t>
        </is>
      </c>
      <c r="L103" s="7" t="inlineStr"/>
      <c r="M103" s="7" t="inlineStr">
        <is>
          <t>ADR-SRS-023として記録。SRS FR-008/FR-022/データ辞書7.2へ反映済み。</t>
        </is>
      </c>
      <c r="N103" s="7" t="inlineStr">
        <is>
          <t>Opus 4.8によるレビュー討議で決着。</t>
        </is>
      </c>
      <c r="O103" s="7" t="inlineStr">
        <is>
          <t>2026-06-16</t>
        </is>
      </c>
      <c r="P103" s="7" t="inlineStr"/>
    </row>
    <row r="104" ht="40" customHeight="1">
      <c r="A104" s="6" t="inlineStr">
        <is>
          <t>ISSUE-104</t>
        </is>
      </c>
      <c r="B104" s="6" t="inlineStr">
        <is>
          <t>FR-018 を FR-008 とセットでループ内再入させ merged_peak.csv で絞る</t>
        </is>
      </c>
      <c r="C104" s="6" t="inlineStr">
        <is>
          <t>FR-018（per-mesh activation.geojson統合）が merged_peak.csv を入力に取らず、FR-007一次フィルタ（130m）通過の全ポリゴンを統合していた。FR-008最終フィルタ（150m）通過の最終ピーク集合とポリゴン集合が不一致となり、(A) is_area_incomplete判定母集団のズレ、(B) FR-009 point-in-polygon誤マッチのリスクがあった。レビューで「FR-018はFR-008とセットでFR-022ループ内を毎回再入し、その世代のmerged_peak.csvでポリゴンを絞る」方針に確定（広域解析待ち時間中の可視化要件が決定打）。ADR-SRS-024作成済み。SRS本文（FR-018入力/説明/再入記述・FR-009 orphan明記・データフロー図・トレーサビリティ表）への反映が残作業。</t>
        </is>
      </c>
      <c r="D104" s="6" t="inlineStr">
        <is>
          <t>設計</t>
        </is>
      </c>
      <c r="E104" s="3" t="inlineStr">
        <is>
          <t>高</t>
        </is>
      </c>
      <c r="F104" s="6" t="inlineStr">
        <is>
          <t>GeoJSON出力</t>
        </is>
      </c>
      <c r="G104" s="6" t="inlineStr">
        <is>
          <t>Opus</t>
        </is>
      </c>
      <c r="H104" s="6" t="inlineStr">
        <is>
          <t>2026-06-16</t>
        </is>
      </c>
      <c r="I104" s="6" t="inlineStr">
        <is>
          <t>SRS</t>
        </is>
      </c>
      <c r="J104" s="6" t="inlineStr"/>
      <c r="K104" s="6" t="inlineStr">
        <is>
          <t>対応完了</t>
        </is>
      </c>
      <c r="L104" s="6" t="inlineStr">
        <is>
          <t>Opus</t>
        </is>
      </c>
      <c r="M104" s="6" t="inlineStr">
        <is>
          <t>ADR-SRS-024（fr018-loop-reentry-and-peak-filter）で決定。SRS本文へ反映後 close。</t>
        </is>
      </c>
      <c r="N104" s="6" t="inlineStr"/>
      <c r="O104" s="6" t="inlineStr">
        <is>
          <t>2026-06-16</t>
        </is>
      </c>
      <c r="P104" s="6" t="inlineStr"/>
    </row>
  </sheetData>
  <dataValidations count="5">
    <dataValidation sqref="K2:K104" showDropDown="0" showInputMessage="0" showErrorMessage="0" allowBlank="1" type="list">
      <formula1>"未対応,対応中,対応完了,解決済,却下"</formula1>
    </dataValidation>
    <dataValidation sqref="E2:E104" showDropDown="0" showInputMessage="0" showErrorMessage="0" allowBlank="1" type="list">
      <formula1>"高,中,低"</formula1>
    </dataValidation>
    <dataValidation sqref="D2:D104" showDropDown="0" showInputMessage="0" showErrorMessage="0" allowBlank="1" type="list">
      <formula1>"機能追加,改善,調査,設計"</formula1>
    </dataValidation>
    <dataValidation sqref="I2:I104" showDropDown="0" showInputMessage="0" showErrorMessage="0" allowBlank="1" type="list">
      <formula1>"URD,SRS,HLD,LLD,COD,UT,IT,ST,OPS"</formula1>
    </dataValidation>
    <dataValidation sqref="J2:J104"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4"/>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103</v>
      </c>
    </row>
    <row r="3">
      <c r="A3" s="10" t="inlineStr">
        <is>
          <t>未解決件数</t>
        </is>
      </c>
      <c r="B3" s="11" t="n">
        <v>27</v>
      </c>
    </row>
    <row r="4">
      <c r="A4" s="10" t="inlineStr">
        <is>
          <t>解決済件数</t>
        </is>
      </c>
      <c r="B4" s="11" t="n">
        <v>59</v>
      </c>
    </row>
    <row r="5">
      <c r="A5" s="10" t="inlineStr">
        <is>
          <t>解決率</t>
        </is>
      </c>
      <c r="B5" s="11" t="inlineStr">
        <is>
          <t>57.3%</t>
        </is>
      </c>
    </row>
    <row r="7">
      <c r="A7" s="8" t="inlineStr">
        <is>
          <t>ステータス別</t>
        </is>
      </c>
      <c r="B7" s="9" t="n"/>
    </row>
    <row r="8">
      <c r="A8" s="10" t="inlineStr">
        <is>
          <t>未対応</t>
        </is>
      </c>
      <c r="B8" s="11" t="n">
        <v>22</v>
      </c>
    </row>
    <row r="9">
      <c r="A9" s="10" t="inlineStr">
        <is>
          <t>対応中</t>
        </is>
      </c>
      <c r="B9" s="11" t="n">
        <v>0</v>
      </c>
    </row>
    <row r="10">
      <c r="A10" s="10" t="inlineStr">
        <is>
          <t>対応完了</t>
        </is>
      </c>
      <c r="B10" s="11" t="n">
        <v>5</v>
      </c>
    </row>
    <row r="11">
      <c r="A11" s="10" t="inlineStr">
        <is>
          <t>解決済</t>
        </is>
      </c>
      <c r="B11" s="11" t="n">
        <v>59</v>
      </c>
    </row>
    <row r="12">
      <c r="A12" s="10" t="inlineStr">
        <is>
          <t>却下</t>
        </is>
      </c>
      <c r="B12" s="11" t="n">
        <v>17</v>
      </c>
    </row>
    <row r="14">
      <c r="A14" s="8" t="inlineStr">
        <is>
          <t>優先度別（未解決）</t>
        </is>
      </c>
      <c r="B14" s="9" t="n"/>
    </row>
    <row r="15">
      <c r="A15" s="10" t="inlineStr">
        <is>
          <t>高</t>
        </is>
      </c>
      <c r="B15" s="11" t="n">
        <v>13</v>
      </c>
    </row>
    <row r="16">
      <c r="A16" s="10" t="inlineStr">
        <is>
          <t>中</t>
        </is>
      </c>
      <c r="B16" s="11" t="n">
        <v>11</v>
      </c>
    </row>
    <row r="17">
      <c r="A17" s="10" t="inlineStr">
        <is>
          <t>低</t>
        </is>
      </c>
      <c r="B17" s="11" t="n">
        <v>3</v>
      </c>
    </row>
    <row r="19">
      <c r="A19" s="8" t="inlineStr">
        <is>
          <t>種別別（未解決）</t>
        </is>
      </c>
      <c r="B19" s="9" t="n"/>
    </row>
    <row r="20">
      <c r="A20" s="10" t="inlineStr">
        <is>
          <t>機能追加</t>
        </is>
      </c>
      <c r="B20" s="11" t="n">
        <v>10</v>
      </c>
    </row>
    <row r="21">
      <c r="A21" s="10" t="inlineStr">
        <is>
          <t>改善</t>
        </is>
      </c>
      <c r="B21" s="11" t="n">
        <v>12</v>
      </c>
    </row>
    <row r="22">
      <c r="A22" s="10" t="inlineStr">
        <is>
          <t>調査</t>
        </is>
      </c>
      <c r="B22" s="11" t="n">
        <v>1</v>
      </c>
    </row>
    <row r="23">
      <c r="A23" s="10" t="inlineStr">
        <is>
          <t>設計</t>
        </is>
      </c>
      <c r="B23" s="11" t="n">
        <v>4</v>
      </c>
    </row>
    <row r="25">
      <c r="A25" s="8" t="inlineStr">
        <is>
          <t>カテゴリ別（未解決）</t>
        </is>
      </c>
      <c r="B25" s="9" t="n"/>
    </row>
    <row r="26">
      <c r="A26" s="10" t="inlineStr">
        <is>
          <t>解析エンジン</t>
        </is>
      </c>
      <c r="B26" s="11" t="n">
        <v>4</v>
      </c>
    </row>
    <row r="27">
      <c r="A27" s="10" t="inlineStr">
        <is>
          <t>merge.py</t>
        </is>
      </c>
      <c r="B27" s="11" t="n">
        <v>3</v>
      </c>
    </row>
    <row r="28">
      <c r="A28" s="10" t="inlineStr">
        <is>
          <t>GeoJSON出力</t>
        </is>
      </c>
      <c r="B28" s="11" t="n">
        <v>4</v>
      </c>
    </row>
    <row r="29">
      <c r="A29" s="10" t="inlineStr">
        <is>
          <t>その他</t>
        </is>
      </c>
      <c r="B29" s="11" t="n">
        <v>4</v>
      </c>
    </row>
    <row r="31">
      <c r="A31" s="8" t="inlineStr">
        <is>
          <t>ステージ別（未解決）</t>
        </is>
      </c>
      <c r="B31" s="9" t="n"/>
    </row>
    <row r="32">
      <c r="A32" s="10" t="inlineStr">
        <is>
          <t>SRS</t>
        </is>
      </c>
      <c r="B32" s="11" t="n">
        <v>25</v>
      </c>
    </row>
    <row r="33">
      <c r="A33" s="10" t="inlineStr">
        <is>
          <t>HLD</t>
        </is>
      </c>
      <c r="B33" s="11" t="n">
        <v>1</v>
      </c>
    </row>
    <row r="34">
      <c r="A34" s="10" t="inlineStr">
        <is>
          <t>COD</t>
        </is>
      </c>
      <c r="B34" s="11" t="n">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52"/>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row r="27">
      <c r="A27" t="inlineStr">
        <is>
          <t>2026-05-22</t>
        </is>
      </c>
      <c r="B27" t="n">
        <v>50</v>
      </c>
      <c r="C27" t="n">
        <v>23</v>
      </c>
      <c r="D27" t="n">
        <v>23</v>
      </c>
    </row>
    <row r="28">
      <c r="A28" t="inlineStr">
        <is>
          <t>2026-05-23</t>
        </is>
      </c>
      <c r="B28" t="n">
        <v>53</v>
      </c>
      <c r="C28" t="n">
        <v>33</v>
      </c>
      <c r="D28" t="n">
        <v>35</v>
      </c>
    </row>
    <row r="29">
      <c r="A29" t="inlineStr">
        <is>
          <t>2026-05-24</t>
        </is>
      </c>
      <c r="B29" t="n">
        <v>55</v>
      </c>
      <c r="C29" t="n">
        <v>35</v>
      </c>
      <c r="D29" t="n">
        <v>37</v>
      </c>
    </row>
    <row r="30">
      <c r="A30" t="inlineStr">
        <is>
          <t>2026-05-25</t>
        </is>
      </c>
      <c r="B30" t="n">
        <v>56</v>
      </c>
      <c r="C30" t="n">
        <v>35</v>
      </c>
      <c r="D30" t="n">
        <v>37</v>
      </c>
    </row>
    <row r="31">
      <c r="A31" t="inlineStr">
        <is>
          <t>2026-05-26</t>
        </is>
      </c>
      <c r="B31" t="n">
        <v>56</v>
      </c>
      <c r="C31" t="n">
        <v>35</v>
      </c>
      <c r="D31" t="n">
        <v>37</v>
      </c>
    </row>
    <row r="32">
      <c r="A32" t="inlineStr">
        <is>
          <t>2026-05-27</t>
        </is>
      </c>
      <c r="B32" t="n">
        <v>56</v>
      </c>
      <c r="C32" t="n">
        <v>35</v>
      </c>
      <c r="D32" t="n">
        <v>37</v>
      </c>
    </row>
    <row r="33">
      <c r="A33" t="inlineStr">
        <is>
          <t>2026-05-28</t>
        </is>
      </c>
      <c r="B33" t="n">
        <v>56</v>
      </c>
      <c r="C33" t="n">
        <v>36</v>
      </c>
      <c r="D33" t="n">
        <v>38</v>
      </c>
    </row>
    <row r="34">
      <c r="A34" t="inlineStr">
        <is>
          <t>2026-05-29</t>
        </is>
      </c>
      <c r="B34" t="n">
        <v>62</v>
      </c>
      <c r="C34" t="n">
        <v>39</v>
      </c>
      <c r="D34" t="n">
        <v>41</v>
      </c>
    </row>
    <row r="35">
      <c r="A35" t="inlineStr">
        <is>
          <t>2026-05-30</t>
        </is>
      </c>
      <c r="B35" t="n">
        <v>62</v>
      </c>
      <c r="C35" t="n">
        <v>39</v>
      </c>
      <c r="D35" t="n">
        <v>41</v>
      </c>
    </row>
    <row r="36">
      <c r="A36" t="inlineStr">
        <is>
          <t>2026-05-31</t>
        </is>
      </c>
      <c r="B36" t="n">
        <v>68</v>
      </c>
      <c r="C36" t="n">
        <v>41</v>
      </c>
      <c r="D36" t="n">
        <v>43</v>
      </c>
    </row>
    <row r="37">
      <c r="A37" t="inlineStr">
        <is>
          <t>2026-06-01</t>
        </is>
      </c>
      <c r="B37" t="n">
        <v>69</v>
      </c>
      <c r="C37" t="n">
        <v>42</v>
      </c>
      <c r="D37" t="n">
        <v>44</v>
      </c>
    </row>
    <row r="38">
      <c r="A38" t="inlineStr">
        <is>
          <t>2026-06-02</t>
        </is>
      </c>
      <c r="B38" t="n">
        <v>73</v>
      </c>
      <c r="C38" t="n">
        <v>42</v>
      </c>
      <c r="D38" t="n">
        <v>44</v>
      </c>
    </row>
    <row r="39">
      <c r="A39" t="inlineStr">
        <is>
          <t>2026-06-03</t>
        </is>
      </c>
      <c r="B39" t="n">
        <v>73</v>
      </c>
      <c r="C39" t="n">
        <v>42</v>
      </c>
      <c r="D39" t="n">
        <v>44</v>
      </c>
    </row>
    <row r="40">
      <c r="A40" t="inlineStr">
        <is>
          <t>2026-06-04</t>
        </is>
      </c>
      <c r="B40" t="n">
        <v>76</v>
      </c>
      <c r="C40" t="n">
        <v>42</v>
      </c>
      <c r="D40" t="n">
        <v>44</v>
      </c>
    </row>
    <row r="41">
      <c r="A41" t="inlineStr">
        <is>
          <t>2026-06-05</t>
        </is>
      </c>
      <c r="B41" t="n">
        <v>79</v>
      </c>
      <c r="C41" t="n">
        <v>43</v>
      </c>
      <c r="D41" t="n">
        <v>46</v>
      </c>
    </row>
    <row r="42">
      <c r="A42" t="inlineStr">
        <is>
          <t>2026-06-06</t>
        </is>
      </c>
      <c r="B42" t="n">
        <v>80</v>
      </c>
      <c r="C42" t="n">
        <v>44</v>
      </c>
      <c r="D42" t="n">
        <v>47</v>
      </c>
    </row>
    <row r="43">
      <c r="A43" t="inlineStr">
        <is>
          <t>2026-06-07</t>
        </is>
      </c>
      <c r="B43" t="n">
        <v>81</v>
      </c>
      <c r="C43" t="n">
        <v>45</v>
      </c>
      <c r="D43" t="n">
        <v>59</v>
      </c>
    </row>
    <row r="44">
      <c r="A44" t="inlineStr">
        <is>
          <t>2026-06-08</t>
        </is>
      </c>
      <c r="B44" t="n">
        <v>86</v>
      </c>
      <c r="C44" t="n">
        <v>45</v>
      </c>
      <c r="D44" t="n">
        <v>59</v>
      </c>
    </row>
    <row r="45">
      <c r="A45" t="inlineStr">
        <is>
          <t>2026-06-09</t>
        </is>
      </c>
      <c r="B45" t="n">
        <v>87</v>
      </c>
      <c r="C45" t="n">
        <v>46</v>
      </c>
      <c r="D45" t="n">
        <v>59</v>
      </c>
    </row>
    <row r="46">
      <c r="A46" t="inlineStr">
        <is>
          <t>2026-06-10</t>
        </is>
      </c>
      <c r="B46" t="n">
        <v>87</v>
      </c>
      <c r="C46" t="n">
        <v>46</v>
      </c>
      <c r="D46" t="n">
        <v>59</v>
      </c>
    </row>
    <row r="47">
      <c r="A47" t="inlineStr">
        <is>
          <t>2026-06-11</t>
        </is>
      </c>
      <c r="B47" t="n">
        <v>88</v>
      </c>
      <c r="C47" t="n">
        <v>47</v>
      </c>
      <c r="D47" t="n">
        <v>59</v>
      </c>
    </row>
    <row r="48">
      <c r="A48" t="inlineStr">
        <is>
          <t>2026-06-12</t>
        </is>
      </c>
      <c r="B48" t="n">
        <v>91</v>
      </c>
      <c r="C48" t="n">
        <v>54</v>
      </c>
      <c r="D48" t="n">
        <v>59</v>
      </c>
    </row>
    <row r="49">
      <c r="A49" t="inlineStr">
        <is>
          <t>2026-06-13</t>
        </is>
      </c>
      <c r="B49" t="n">
        <v>91</v>
      </c>
      <c r="C49" t="n">
        <v>55</v>
      </c>
      <c r="D49" t="n">
        <v>68</v>
      </c>
    </row>
    <row r="50">
      <c r="A50" t="inlineStr">
        <is>
          <t>2026-06-14</t>
        </is>
      </c>
      <c r="B50" t="n">
        <v>96</v>
      </c>
      <c r="C50" t="n">
        <v>60</v>
      </c>
      <c r="D50" t="n">
        <v>71</v>
      </c>
    </row>
    <row r="51">
      <c r="A51" t="inlineStr">
        <is>
          <t>2026-06-15</t>
        </is>
      </c>
      <c r="B51" t="n">
        <v>101</v>
      </c>
      <c r="C51" t="n">
        <v>62</v>
      </c>
      <c r="D51" t="n">
        <v>76</v>
      </c>
    </row>
    <row r="52">
      <c r="A52" t="inlineStr">
        <is>
          <t>2026-06-16</t>
        </is>
      </c>
      <c r="B52" t="n">
        <v>103</v>
      </c>
      <c r="C52" t="n">
        <v>64</v>
      </c>
      <c r="D52" t="n">
        <v>76</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2026-06-16T08:09:43Z</dcterms:created>
  <dcterms:modified xsi:type="dcterms:W3CDTF">2026-06-16T08:09:43Z</dcterms:modified>
</cp:coreProperties>
</file>