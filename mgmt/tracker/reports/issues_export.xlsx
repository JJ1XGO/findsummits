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'収束グラフ'!$A$2:$A$52</f>
            </strRef>
          </cat>
          <val>
            <numRef>
              <f>'収束グラフ'!$B$2:$B$52</f>
            </numRef>
          </val>
        </ser>
        <ser>
          <idx val="1"/>
          <order val="1"/>
          <tx>
            <strRef>
              <f>'収束グラフ'!C1</f>
            </strRef>
          </tx>
          <spPr>
            <a:ln w="20000">
              <a:solidFill>
                <a:srgbClr val="4472C4"/>
              </a:solidFill>
              <a:prstDash val="solid"/>
            </a:ln>
          </spPr>
          <marker>
            <symbol val="none"/>
            <spPr>
              <a:ln>
                <a:prstDash val="solid"/>
              </a:ln>
            </spPr>
          </marker>
          <cat>
            <strRef>
              <f>'収束グラフ'!$A$2:$A$52</f>
            </strRef>
          </cat>
          <val>
            <numRef>
              <f>'収束グラフ'!$C$2:$C$52</f>
            </numRef>
          </val>
        </ser>
        <ser>
          <idx val="2"/>
          <order val="2"/>
          <tx>
            <strRef>
              <f>'収束グラフ'!D1</f>
            </strRef>
          </tx>
          <spPr>
            <a:ln w="20000">
              <a:solidFill>
                <a:srgbClr val="70AD47"/>
              </a:solidFill>
              <a:prstDash val="solid"/>
            </a:ln>
          </spPr>
          <marker>
            <symbol val="none"/>
            <spPr>
              <a:ln>
                <a:prstDash val="solid"/>
              </a:ln>
            </spPr>
          </marker>
          <cat>
            <strRef>
              <f>'収束グラフ'!$A$2:$A$52</f>
            </strRef>
          </cat>
          <val>
            <numRef>
              <f>'収束グラフ'!$D$2:$D$52</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6" t="inlineStr">
        <is>
          <t>ISSUE-100</t>
        </is>
      </c>
      <c r="B100" s="6" t="inlineStr">
        <is>
          <t>FR-016 per-mesh GeoJSON プロパティ設計（join 方式）</t>
        </is>
      </c>
      <c r="C100" s="6"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6" t="inlineStr">
        <is>
          <t>設計</t>
        </is>
      </c>
      <c r="E100" s="3" t="inlineStr">
        <is>
          <t>高</t>
        </is>
      </c>
      <c r="F100" s="6" t="inlineStr"/>
      <c r="G100" s="6" t="inlineStr">
        <is>
          <t>Sonnet</t>
        </is>
      </c>
      <c r="H100" s="6" t="inlineStr">
        <is>
          <t>2026-06-15</t>
        </is>
      </c>
      <c r="I100" s="6" t="inlineStr">
        <is>
          <t>SRS</t>
        </is>
      </c>
      <c r="J100" s="6" t="inlineStr"/>
      <c r="K100" s="6" t="inlineStr">
        <is>
          <t>対応完了</t>
        </is>
      </c>
      <c r="L100" s="6" t="inlineStr">
        <is>
          <t>Sonnet</t>
        </is>
      </c>
      <c r="M100" s="6" t="inlineStr">
        <is>
          <t>SRS FR-016/018/009 を join 方式に整合して更新。ADR-SRS-022 作成済み。</t>
        </is>
      </c>
      <c r="N100" s="6" t="inlineStr"/>
      <c r="O100" s="6" t="inlineStr"/>
      <c r="P100" s="6" t="inlineStr"/>
    </row>
    <row r="101" ht="40" customHeight="1">
      <c r="A101" s="7" t="inlineStr">
        <is>
          <t>ISSUE-101</t>
        </is>
      </c>
      <c r="B101" s="7" t="inlineStr">
        <is>
          <t>FR-016 delete_zone 再生成不要の根拠明記</t>
        </is>
      </c>
      <c r="C101" s="7" t="inlineStr">
        <is>
          <t>key_col_resolved=false のピークはコル確定後も delete_zone を再生成しない。理由が SRS に記載されていなかった。</t>
        </is>
      </c>
      <c r="D101" s="7" t="inlineStr">
        <is>
          <t>設計</t>
        </is>
      </c>
      <c r="E101" s="4" t="inlineStr">
        <is>
          <t>中</t>
        </is>
      </c>
      <c r="F101" s="7" t="inlineStr"/>
      <c r="G101" s="7" t="inlineStr">
        <is>
          <t>Sonnet</t>
        </is>
      </c>
      <c r="H101" s="7" t="inlineStr">
        <is>
          <t>2026-06-15</t>
        </is>
      </c>
      <c r="I101" s="7" t="inlineStr">
        <is>
          <t>SRS</t>
        </is>
      </c>
      <c r="J101" s="7" t="inlineStr"/>
      <c r="K101" s="7" t="inlineStr">
        <is>
          <t>対応完了</t>
        </is>
      </c>
      <c r="L101" s="7" t="inlineStr">
        <is>
          <t>Sonnet</t>
        </is>
      </c>
      <c r="M101" s="7" t="inlineStr">
        <is>
          <t>FR-016 の詳細説明に許容根拠（3×3 でコル未検出＝実質プロミネンス大で max_drop キャップが実効的、過大化しない）を追記済み。</t>
        </is>
      </c>
      <c r="N101" s="7" t="inlineStr"/>
      <c r="O101" s="7" t="inlineStr"/>
      <c r="P101" s="7" t="inlineStr"/>
    </row>
    <row r="102" ht="40" customHeight="1">
      <c r="A102" s="6" t="inlineStr">
        <is>
          <t>ISSUE-102</t>
        </is>
      </c>
      <c r="B102" s="6" t="inlineStr">
        <is>
          <t>アクティベーションゾーン標高差の設定可能項目化</t>
        </is>
      </c>
      <c r="C102" s="6" t="inlineStr">
        <is>
          <t>AZ Flood Fill の標高差閾値 25m がハードコードされていた。プロミネンス最終フィルタと同様に設定可能項目としてデータ辞書（SRS 2.2.1）で管理するべきとのユーザー指摘。</t>
        </is>
      </c>
      <c r="D102" s="6" t="inlineStr">
        <is>
          <t>機能追加</t>
        </is>
      </c>
      <c r="E102" s="4" t="inlineStr">
        <is>
          <t>中</t>
        </is>
      </c>
      <c r="F102" s="6" t="inlineStr"/>
      <c r="G102" s="6" t="inlineStr">
        <is>
          <t>Sonnet</t>
        </is>
      </c>
      <c r="H102" s="6" t="inlineStr">
        <is>
          <t>2026-06-15</t>
        </is>
      </c>
      <c r="I102" s="6" t="inlineStr">
        <is>
          <t>SRS</t>
        </is>
      </c>
      <c r="J102" s="6" t="inlineStr"/>
      <c r="K102" s="6" t="inlineStr">
        <is>
          <t>対応完了</t>
        </is>
      </c>
      <c r="L102" s="6" t="inlineStr">
        <is>
          <t>Sonnet</t>
        </is>
      </c>
      <c r="M102" s="6"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6" t="inlineStr"/>
      <c r="O102" s="6" t="inlineStr"/>
      <c r="P102" s="6" t="inlineStr"/>
    </row>
    <row r="103" ht="40" customHeight="1">
      <c r="A103" s="7" t="inlineStr">
        <is>
          <t>ISSUE-103</t>
        </is>
      </c>
      <c r="B103" s="7" t="inlineStr">
        <is>
          <t>FR-008統合対象メッシュコードリストの入力分離（フィルタ用途とexpected_count基準の分離）</t>
        </is>
      </c>
      <c r="C103" s="7"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7" t="inlineStr">
        <is>
          <t>設計</t>
        </is>
      </c>
      <c r="E103" s="4" t="inlineStr">
        <is>
          <t>中</t>
        </is>
      </c>
      <c r="F103" s="7" t="inlineStr">
        <is>
          <t>merge.py</t>
        </is>
      </c>
      <c r="G103" s="7" t="inlineStr">
        <is>
          <t>Opus</t>
        </is>
      </c>
      <c r="H103" s="7" t="inlineStr">
        <is>
          <t>2026-06-16</t>
        </is>
      </c>
      <c r="I103" s="7" t="inlineStr">
        <is>
          <t>SRS</t>
        </is>
      </c>
      <c r="J103" s="7" t="inlineStr"/>
      <c r="K103" s="7" t="inlineStr">
        <is>
          <t>対応完了</t>
        </is>
      </c>
      <c r="L103" s="7" t="inlineStr"/>
      <c r="M103" s="7" t="inlineStr">
        <is>
          <t>ADR-SRS-023として記録。SRS FR-008/FR-022/データ辞書7.2へ反映済み。</t>
        </is>
      </c>
      <c r="N103" s="7" t="inlineStr">
        <is>
          <t>Opus 4.8によるレビュー討議で決着。</t>
        </is>
      </c>
      <c r="O103" s="7" t="inlineStr">
        <is>
          <t>2026-06-16</t>
        </is>
      </c>
      <c r="P103" s="7" t="inlineStr"/>
    </row>
  </sheetData>
  <dataValidations count="5">
    <dataValidation sqref="K2:K103" showDropDown="0" showInputMessage="0" showErrorMessage="0" allowBlank="1" type="list">
      <formula1>"未対応,対応中,対応完了,解決済,却下"</formula1>
    </dataValidation>
    <dataValidation sqref="E2:E103" showDropDown="0" showInputMessage="0" showErrorMessage="0" allowBlank="1" type="list">
      <formula1>"高,中,低"</formula1>
    </dataValidation>
    <dataValidation sqref="D2:D103" showDropDown="0" showInputMessage="0" showErrorMessage="0" allowBlank="1" type="list">
      <formula1>"機能追加,改善,調査,設計"</formula1>
    </dataValidation>
    <dataValidation sqref="I2:I103" showDropDown="0" showInputMessage="0" showErrorMessage="0" allowBlank="1" type="list">
      <formula1>"URD,SRS,HLD,LLD,COD,UT,IT,ST,OPS"</formula1>
    </dataValidation>
    <dataValidation sqref="J2:J10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102</v>
      </c>
    </row>
    <row r="3">
      <c r="A3" s="10" t="inlineStr">
        <is>
          <t>未解決件数</t>
        </is>
      </c>
      <c r="B3" s="11" t="n">
        <v>26</v>
      </c>
    </row>
    <row r="4">
      <c r="A4" s="10" t="inlineStr">
        <is>
          <t>解決済件数</t>
        </is>
      </c>
      <c r="B4" s="11" t="n">
        <v>59</v>
      </c>
    </row>
    <row r="5">
      <c r="A5" s="10" t="inlineStr">
        <is>
          <t>解決率</t>
        </is>
      </c>
      <c r="B5" s="11" t="inlineStr">
        <is>
          <t>57.8%</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4</v>
      </c>
    </row>
    <row r="11">
      <c r="A11" s="10" t="inlineStr">
        <is>
          <t>解決済</t>
        </is>
      </c>
      <c r="B11" s="11" t="n">
        <v>59</v>
      </c>
    </row>
    <row r="12">
      <c r="A12" s="10" t="inlineStr">
        <is>
          <t>却下</t>
        </is>
      </c>
      <c r="B12" s="11" t="n">
        <v>17</v>
      </c>
    </row>
    <row r="14">
      <c r="A14" s="8" t="inlineStr">
        <is>
          <t>優先度別（未解決）</t>
        </is>
      </c>
      <c r="B14" s="9" t="n"/>
    </row>
    <row r="15">
      <c r="A15" s="10" t="inlineStr">
        <is>
          <t>高</t>
        </is>
      </c>
      <c r="B15" s="11" t="n">
        <v>12</v>
      </c>
    </row>
    <row r="16">
      <c r="A16" s="10" t="inlineStr">
        <is>
          <t>中</t>
        </is>
      </c>
      <c r="B16" s="11" t="n">
        <v>11</v>
      </c>
    </row>
    <row r="17">
      <c r="A17" s="10" t="inlineStr">
        <is>
          <t>低</t>
        </is>
      </c>
      <c r="B17" s="11" t="n">
        <v>3</v>
      </c>
    </row>
    <row r="19">
      <c r="A19" s="8" t="inlineStr">
        <is>
          <t>種別別（未解決）</t>
        </is>
      </c>
      <c r="B19" s="9" t="n"/>
    </row>
    <row r="20">
      <c r="A20" s="10" t="inlineStr">
        <is>
          <t>機能追加</t>
        </is>
      </c>
      <c r="B20" s="11" t="n">
        <v>10</v>
      </c>
    </row>
    <row r="21">
      <c r="A21" s="10" t="inlineStr">
        <is>
          <t>改善</t>
        </is>
      </c>
      <c r="B21" s="11" t="n">
        <v>12</v>
      </c>
    </row>
    <row r="22">
      <c r="A22" s="10" t="inlineStr">
        <is>
          <t>調査</t>
        </is>
      </c>
      <c r="B22" s="11" t="n">
        <v>1</v>
      </c>
    </row>
    <row r="23">
      <c r="A23" s="10" t="inlineStr">
        <is>
          <t>設計</t>
        </is>
      </c>
      <c r="B23" s="11" t="n">
        <v>3</v>
      </c>
    </row>
    <row r="25">
      <c r="A25" s="8" t="inlineStr">
        <is>
          <t>カテゴリ別（未解決）</t>
        </is>
      </c>
      <c r="B25" s="9" t="n"/>
    </row>
    <row r="26">
      <c r="A26" s="10" t="inlineStr">
        <is>
          <t>解析エンジン</t>
        </is>
      </c>
      <c r="B26" s="11" t="n">
        <v>4</v>
      </c>
    </row>
    <row r="27">
      <c r="A27" s="10" t="inlineStr">
        <is>
          <t>merge.py</t>
        </is>
      </c>
      <c r="B27" s="11" t="n">
        <v>3</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24</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62</v>
      </c>
      <c r="D51" t="n">
        <v>76</v>
      </c>
    </row>
    <row r="52">
      <c r="A52" t="inlineStr">
        <is>
          <t>2026-06-16</t>
        </is>
      </c>
      <c r="B52" t="n">
        <v>102</v>
      </c>
      <c r="C52" t="n">
        <v>63</v>
      </c>
      <c r="D52" t="n">
        <v>76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2026-06-16T05:16:49Z</dcterms:created>
  <dcterms:modified xsi:type="dcterms:W3CDTF">2026-06-16T05:16:50Z</dcterms:modified>
</cp:coreProperties>
</file>