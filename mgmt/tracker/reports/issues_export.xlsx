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FFE0E0"/>
      </patternFill>
    </fill>
    <fill>
      <patternFill patternType="solid">
        <fgColor rgb="00FFFFFF"/>
      </patternFill>
    </fill>
    <fill>
      <patternFill patternType="solid">
        <fgColor rgb="00F0F0F0"/>
      </patternFill>
    </fill>
    <fill>
      <patternFill patternType="solid">
        <fgColor rgb="00FFFBE0"/>
      </patternFill>
    </fill>
    <fill>
      <patternFill patternType="solid">
        <fgColor rgb="00E8F5E9"/>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2" fillId="6" borderId="1" applyAlignment="1" pivotButton="0" quotePrefix="0" xfId="0">
      <alignment horizontal="left"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f>
            </numRef>
          </xVal>
          <yVal>
            <numRef>
              <f>'収束グラフ'!$B$2</f>
            </numRef>
          </yVal>
        </ser>
        <ser>
          <idx val="1"/>
          <order val="1"/>
          <tx>
            <v>対応累計</v>
          </tx>
          <spPr>
            <a:ln w="20000">
              <a:solidFill>
                <a:srgbClr val="4472C4"/>
              </a:solidFill>
              <a:prstDash val="solid"/>
            </a:ln>
          </spPr>
          <marker>
            <symbol val="circle"/>
            <size val="5"/>
            <spPr>
              <a:ln>
                <a:prstDash val="solid"/>
              </a:ln>
            </spPr>
          </marker>
          <xVal>
            <numRef>
              <f>'収束グラフ'!$A$2</f>
            </numRef>
          </xVal>
          <yVal>
            <numRef>
              <f>'収束グラフ'!$C$2</f>
            </numRef>
          </yVal>
        </ser>
        <ser>
          <idx val="2"/>
          <order val="2"/>
          <tx>
            <v>確認累計</v>
          </tx>
          <spPr>
            <a:ln w="20000">
              <a:solidFill>
                <a:srgbClr val="70AD47"/>
              </a:solidFill>
              <a:prstDash val="solid"/>
            </a:ln>
          </spPr>
          <marker>
            <symbol val="circle"/>
            <size val="5"/>
            <spPr>
              <a:ln>
                <a:prstDash val="solid"/>
              </a:ln>
            </spPr>
          </marker>
          <xVal>
            <numRef>
              <f>'収束グラフ'!$A$2</f>
            </numRef>
          </xVal>
          <yVal>
            <numRef>
              <f>'収束グラフ'!$D$2</f>
            </numRef>
          </yVal>
        </ser>
        <axId val="10"/>
        <axId val="20"/>
      </scatterChart>
      <valAx>
        <axId val="10"/>
        <scaling>
          <orientation val="minMax"/>
          <max val="4613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未対応</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c r="O2" s="2" t="inlineStr"/>
    </row>
    <row r="3" ht="40" customHeight="1">
      <c r="A3" s="4" t="inlineStr">
        <is>
          <t>ISSUE-002</t>
        </is>
      </c>
      <c r="B3" s="4" t="inlineStr">
        <is>
          <t>match_status 判定の merge.py 本実装</t>
        </is>
      </c>
      <c r="C3" s="4" t="inlineStr">
        <is>
          <t>現行の merge.py には match_status（NEW/MATCH/MOVED/ELEV_CHANGE/DELETED）の本実装が未完了。突合しきい値: 距離 ≤ 150m かつ標高差 &lt; 20m で同一サミットとみなす。DELETED は mesh_bbox() によるbbox内サミットのみ対象。</t>
        </is>
      </c>
      <c r="D3" s="4" t="inlineStr">
        <is>
          <t>機能追加</t>
        </is>
      </c>
      <c r="E3" s="3" t="inlineStr">
        <is>
          <t>高</t>
        </is>
      </c>
      <c r="F3" s="4" t="inlineStr">
        <is>
          <t>merge.py</t>
        </is>
      </c>
      <c r="G3" s="4" t="inlineStr">
        <is>
          <t>JJ1XGO</t>
        </is>
      </c>
      <c r="H3" s="4" t="inlineStr">
        <is>
          <t>2026-04-27</t>
        </is>
      </c>
      <c r="I3" s="4" t="inlineStr">
        <is>
          <t>COD</t>
        </is>
      </c>
      <c r="J3" s="4" t="inlineStr">
        <is>
          <t>未対応</t>
        </is>
      </c>
      <c r="K3" s="4" t="inlineStr">
        <is>
          <t>JJ1XGO</t>
        </is>
      </c>
      <c r="L3" s="4" t="inlineStr"/>
      <c r="M3" s="4" t="inlineStr">
        <is>
          <t>ISSUE-001（ステップ3検証）の後に着手。突合列: match_status, summit_code, summit_name, peak_lat, peak_lon, peak_elev, col_lat, col_lon, col_elev, prominence, orig_lat, orig_lon, orig_elev</t>
        </is>
      </c>
      <c r="N3" s="4" t="inlineStr"/>
      <c r="O3" s="4" t="inlineStr"/>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is>
          <t>未対応</t>
        </is>
      </c>
      <c r="K4" s="2" t="inlineStr">
        <is>
          <t>JJ1XGO</t>
        </is>
      </c>
      <c r="L4" s="2" t="inlineStr"/>
      <c r="M4" s="2" t="inlineStr">
        <is>
          <t>着手前に plan.md の Ph.2〜Ph.5 設計と現在のアーキテクチャの整合を確認すること。ref/SOTA-Summit-list-revision-request.xlsx の列定義を事前確認。</t>
        </is>
      </c>
      <c r="N4" s="2" t="inlineStr"/>
      <c r="O4" s="2" t="inlineStr"/>
    </row>
    <row r="5" ht="40" customHeight="1">
      <c r="A5" s="5" t="inlineStr">
        <is>
          <t>ISSUE-004</t>
        </is>
      </c>
      <c r="B5" s="5" t="inlineStr">
        <is>
          <t>output_geojson.py 新規作成（GeoJSON生成）</t>
        </is>
      </c>
      <c r="C5" s="5"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5" t="inlineStr">
        <is>
          <t>機能追加</t>
        </is>
      </c>
      <c r="E5" s="6" t="inlineStr">
        <is>
          <t>中</t>
        </is>
      </c>
      <c r="F5" s="5" t="inlineStr">
        <is>
          <t>GeoJSON出力</t>
        </is>
      </c>
      <c r="G5" s="5" t="inlineStr">
        <is>
          <t>JJ1XGO</t>
        </is>
      </c>
      <c r="H5" s="5" t="inlineStr">
        <is>
          <t>2026-04-27</t>
        </is>
      </c>
      <c r="I5" s="5" t="inlineStr">
        <is>
          <t>COD</t>
        </is>
      </c>
      <c r="J5" s="5" t="inlineStr">
        <is>
          <t>解決済</t>
        </is>
      </c>
      <c r="K5" s="5" t="inlineStr">
        <is>
          <t>JJ1XGO</t>
        </is>
      </c>
      <c r="L5" s="5" t="inlineStr"/>
      <c r="M5" s="5" t="inlineStr">
        <is>
          <t>SOTA スコア別色（MATCHのみ）: 10点=赤, 8点=黄, 6点=緑, 4点=シアン, 2点=青, 1点=紫</t>
        </is>
      </c>
      <c r="N5" s="5" t="inlineStr">
        <is>
          <t>2026-04-27</t>
        </is>
      </c>
      <c r="O5" s="5"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6" t="inlineStr">
        <is>
          <t>中</t>
        </is>
      </c>
      <c r="F6" s="2" t="inlineStr">
        <is>
          <t>解析エンジン</t>
        </is>
      </c>
      <c r="G6" s="2" t="inlineStr">
        <is>
          <t>JJ1XGO</t>
        </is>
      </c>
      <c r="H6" s="2" t="inlineStr">
        <is>
          <t>2026-04-27</t>
        </is>
      </c>
      <c r="I6" s="2" t="inlineStr">
        <is>
          <t>ST</t>
        </is>
      </c>
      <c r="J6" s="2" t="inlineStr">
        <is>
          <t>未対応</t>
        </is>
      </c>
      <c r="K6" s="2" t="inlineStr">
        <is>
          <t>JJ1XGO</t>
        </is>
      </c>
      <c r="L6" s="2" t="inlineStr"/>
      <c r="M6" s="2" t="inlineStr">
        <is>
          <t>複数メッシュ境界付近の既知の山が GeoJSON で正しく1件表示されることも確認。DEM5なしメッシュの DEM10 フォールバック結果の妥当性も確認。</t>
        </is>
      </c>
      <c r="N6" s="2" t="inlineStr"/>
      <c r="O6" s="2" t="inlineStr"/>
    </row>
    <row r="7" ht="40" customHeight="1">
      <c r="A7" s="4" t="inlineStr">
        <is>
          <t>ISSUE-006</t>
        </is>
      </c>
      <c r="B7" s="4" t="inlineStr">
        <is>
          <t>tolerance_px の調整（ステップ3結果を見て決定）</t>
        </is>
      </c>
      <c r="C7" s="4" t="inlineStr">
        <is>
          <t>現在 tolerance_px=0（完全一致）。ISSUE-001 のステップ3結果を確認してから適切な値を決定する。設定は fetch_config.ini で管理。</t>
        </is>
      </c>
      <c r="D7" s="4" t="inlineStr">
        <is>
          <t>改善</t>
        </is>
      </c>
      <c r="E7" s="6" t="inlineStr">
        <is>
          <t>中</t>
        </is>
      </c>
      <c r="F7" s="4" t="inlineStr">
        <is>
          <t>merge.py</t>
        </is>
      </c>
      <c r="G7" s="4" t="inlineStr">
        <is>
          <t>JJ1XGO</t>
        </is>
      </c>
      <c r="H7" s="4" t="inlineStr">
        <is>
          <t>2026-04-27</t>
        </is>
      </c>
      <c r="I7" s="4" t="inlineStr">
        <is>
          <t>IT</t>
        </is>
      </c>
      <c r="J7" s="4" t="inlineStr">
        <is>
          <t>未対応</t>
        </is>
      </c>
      <c r="K7" s="4" t="inlineStr">
        <is>
          <t>JJ1XGO</t>
        </is>
      </c>
      <c r="L7" s="4" t="inlineStr"/>
      <c r="M7" s="4" t="inlineStr">
        <is>
          <t>ISSUE-001 完了後に着手</t>
        </is>
      </c>
      <c r="N7" s="4" t="inlineStr"/>
      <c r="O7" s="4" t="inlineStr"/>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7" t="inlineStr">
        <is>
          <t>低</t>
        </is>
      </c>
      <c r="F8" s="2" t="inlineStr">
        <is>
          <t>その他</t>
        </is>
      </c>
      <c r="G8" s="2" t="inlineStr">
        <is>
          <t>JJ1XGO</t>
        </is>
      </c>
      <c r="H8" s="2" t="inlineStr">
        <is>
          <t>2026-04-27</t>
        </is>
      </c>
      <c r="I8" s="2" t="inlineStr">
        <is>
          <t>OPS</t>
        </is>
      </c>
      <c r="J8" s="2" t="inlineStr">
        <is>
          <t>未対応</t>
        </is>
      </c>
      <c r="K8" s="2" t="inlineStr">
        <is>
          <t>JJ1XGO</t>
        </is>
      </c>
      <c r="L8" s="2" t="inlineStr"/>
      <c r="M8" s="2" t="inlineStr">
        <is>
          <t>フルパイプ検証前に仕様を詰めても実行時の問題で仕様変更になりやすいため後回し</t>
        </is>
      </c>
      <c r="N8" s="2" t="inlineStr"/>
      <c r="O8" s="2" t="inlineStr"/>
    </row>
    <row r="9" ht="40" customHeight="1">
      <c r="A9" s="4" t="inlineStr">
        <is>
          <t>ISSUE-008</t>
        </is>
      </c>
      <c r="B9" s="4" t="inlineStr">
        <is>
          <t>申請用出力フェーズ着手前の設計確認（plan_v1.md との整合確認）</t>
        </is>
      </c>
      <c r="C9" s="4"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4" t="inlineStr">
        <is>
          <t>設計</t>
        </is>
      </c>
      <c r="E9" s="3" t="inlineStr">
        <is>
          <t>高</t>
        </is>
      </c>
      <c r="F9" s="4" t="inlineStr">
        <is>
          <t>その他</t>
        </is>
      </c>
      <c r="G9" s="4" t="inlineStr">
        <is>
          <t>JJ1XGO</t>
        </is>
      </c>
      <c r="H9" s="4" t="inlineStr">
        <is>
          <t>2026-04-27</t>
        </is>
      </c>
      <c r="I9" s="4" t="inlineStr">
        <is>
          <t>HLD</t>
        </is>
      </c>
      <c r="J9" s="4" t="inlineStr">
        <is>
          <t>未対応</t>
        </is>
      </c>
      <c r="K9" s="4" t="inlineStr">
        <is>
          <t>JJ1XGO</t>
        </is>
      </c>
      <c r="L9" s="4" t="inlineStr"/>
      <c r="M9" s="4" t="inlineStr">
        <is>
          <t>plan_v1.md: .claude/mgmt/plan_v1.md</t>
        </is>
      </c>
      <c r="N9" s="4" t="inlineStr"/>
      <c r="O9" s="4" t="inlineStr"/>
    </row>
    <row r="10" ht="40" customHeight="1">
      <c r="A10" s="2" t="inlineStr">
        <is>
          <t>ISSUE-009</t>
        </is>
      </c>
      <c r="B10" s="2" t="inlineStr">
        <is>
          <t>新規サミット仮コードへの地域コード自動付与</t>
        </is>
      </c>
      <c r="C10" s="2" t="inlineStr">
        <is>
          <t>現在は仮コードが ZZ/ZZ-001 形式の連番。座標から都道府県を判定し、SOTA JA のアソシエーション/リージョンコード（北海道・本州・四国・九州）を仮コードに反映できるか実装を検討する。</t>
        </is>
      </c>
      <c r="D10" s="2" t="inlineStr">
        <is>
          <t>機能追加</t>
        </is>
      </c>
      <c r="E10" s="7" t="inlineStr">
        <is>
          <t>低</t>
        </is>
      </c>
      <c r="F10" s="2" t="inlineStr">
        <is>
          <t>merge.py</t>
        </is>
      </c>
      <c r="G10" s="2" t="inlineStr">
        <is>
          <t>JJ1XGO</t>
        </is>
      </c>
      <c r="H10" s="2" t="inlineStr">
        <is>
          <t>2026-04-27</t>
        </is>
      </c>
      <c r="I10" s="2" t="inlineStr">
        <is>
          <t>HLD</t>
        </is>
      </c>
      <c r="J10" s="2" t="inlineStr">
        <is>
          <t>未対応</t>
        </is>
      </c>
      <c r="K10" s="2" t="inlineStr">
        <is>
          <t>JJ1XGO</t>
        </is>
      </c>
      <c r="L10" s="2" t="inlineStr"/>
      <c r="M10" s="2" t="inlineStr">
        <is>
          <t>将来実装候補。フルパイプ検証・申請用出力フェーズ完了後に検討。</t>
        </is>
      </c>
      <c r="N10" s="2" t="inlineStr"/>
      <c r="O10" s="2" t="inlineStr"/>
    </row>
  </sheetData>
  <dataValidations count="4">
    <dataValidation sqref="J2:J10" showDropDown="0" showInputMessage="0" showErrorMessage="0" allowBlank="1" type="list">
      <formula1>"未対応,対応中,対応完了,解決済,却下"</formula1>
    </dataValidation>
    <dataValidation sqref="E2:E10" showDropDown="0" showInputMessage="0" showErrorMessage="0" allowBlank="1" type="list">
      <formula1>"高,中,低"</formula1>
    </dataValidation>
    <dataValidation sqref="D2:D10" showDropDown="0" showInputMessage="0" showErrorMessage="0" allowBlank="1" type="list">
      <formula1>"機能追加,改善,調査,設計"</formula1>
    </dataValidation>
    <dataValidation sqref="I2:I1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v>
      </c>
    </row>
    <row r="3">
      <c r="A3" s="10" t="inlineStr">
        <is>
          <t>未解決件数</t>
        </is>
      </c>
      <c r="B3" s="11" t="n">
        <v>8</v>
      </c>
    </row>
    <row r="4">
      <c r="A4" s="10" t="inlineStr">
        <is>
          <t>解決済件数</t>
        </is>
      </c>
      <c r="B4" s="11" t="n">
        <v>1</v>
      </c>
    </row>
    <row r="5">
      <c r="A5" s="10" t="inlineStr">
        <is>
          <t>解決率</t>
        </is>
      </c>
      <c r="B5" s="11" t="inlineStr">
        <is>
          <t>11.1%</t>
        </is>
      </c>
    </row>
    <row r="7">
      <c r="A7" s="8" t="inlineStr">
        <is>
          <t>ステータス別</t>
        </is>
      </c>
      <c r="B7" s="9" t="n"/>
    </row>
    <row r="8">
      <c r="A8" s="10" t="inlineStr">
        <is>
          <t>未対応</t>
        </is>
      </c>
      <c r="B8" s="11" t="n">
        <v>8</v>
      </c>
    </row>
    <row r="9">
      <c r="A9" s="10" t="inlineStr">
        <is>
          <t>対応中</t>
        </is>
      </c>
      <c r="B9" s="11" t="n">
        <v>0</v>
      </c>
    </row>
    <row r="10">
      <c r="A10" s="10" t="inlineStr">
        <is>
          <t>対応完了</t>
        </is>
      </c>
      <c r="B10" s="11" t="n">
        <v>0</v>
      </c>
    </row>
    <row r="11">
      <c r="A11" s="10" t="inlineStr">
        <is>
          <t>解決済</t>
        </is>
      </c>
      <c r="B11" s="11" t="n">
        <v>1</v>
      </c>
    </row>
    <row r="12">
      <c r="A12" s="10" t="inlineStr">
        <is>
          <t>却下</t>
        </is>
      </c>
      <c r="B12" s="11" t="n">
        <v>0</v>
      </c>
    </row>
    <row r="14">
      <c r="A14" s="8" t="inlineStr">
        <is>
          <t>優先度別（未解決）</t>
        </is>
      </c>
      <c r="B14" s="9" t="n"/>
    </row>
    <row r="15">
      <c r="A15" s="10" t="inlineStr">
        <is>
          <t>高</t>
        </is>
      </c>
      <c r="B15" s="11" t="n">
        <v>4</v>
      </c>
    </row>
    <row r="16">
      <c r="A16" s="10" t="inlineStr">
        <is>
          <t>中</t>
        </is>
      </c>
      <c r="B16" s="11" t="n">
        <v>2</v>
      </c>
    </row>
    <row r="17">
      <c r="A17" s="10" t="inlineStr">
        <is>
          <t>低</t>
        </is>
      </c>
      <c r="B17" s="11" t="n">
        <v>2</v>
      </c>
    </row>
    <row r="19">
      <c r="A19" s="8" t="inlineStr">
        <is>
          <t>種別別（未解決）</t>
        </is>
      </c>
      <c r="B19" s="9" t="n"/>
    </row>
    <row r="20">
      <c r="A20" s="10" t="inlineStr">
        <is>
          <t>機能追加</t>
        </is>
      </c>
      <c r="B20" s="11" t="n">
        <v>3</v>
      </c>
    </row>
    <row r="21">
      <c r="A21" s="10" t="inlineStr">
        <is>
          <t>改善</t>
        </is>
      </c>
      <c r="B21" s="11" t="n">
        <v>2</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1</v>
      </c>
    </row>
    <row r="27">
      <c r="A27" s="10" t="inlineStr">
        <is>
          <t>merge.py</t>
        </is>
      </c>
      <c r="B27" s="11" t="n">
        <v>4</v>
      </c>
    </row>
    <row r="28">
      <c r="A28" s="10" t="inlineStr">
        <is>
          <t>その他</t>
        </is>
      </c>
      <c r="B28" s="11" t="n">
        <v>3</v>
      </c>
    </row>
    <row r="30">
      <c r="A30" s="8" t="inlineStr">
        <is>
          <t>ステージ別（未解決）</t>
        </is>
      </c>
      <c r="B30" s="9" t="n"/>
    </row>
    <row r="31">
      <c r="A31" s="10" t="inlineStr">
        <is>
          <t>HLD</t>
        </is>
      </c>
      <c r="B31" s="11" t="n">
        <v>2</v>
      </c>
    </row>
    <row r="32">
      <c r="A32" s="10" t="inlineStr">
        <is>
          <t>COD</t>
        </is>
      </c>
      <c r="B32" s="11" t="n">
        <v>2</v>
      </c>
    </row>
    <row r="33">
      <c r="A33" s="10" t="inlineStr">
        <is>
          <t>IT</t>
        </is>
      </c>
      <c r="B33" s="11" t="n">
        <v>2</v>
      </c>
    </row>
    <row r="34">
      <c r="A34" s="10" t="inlineStr">
        <is>
          <t>ST</t>
        </is>
      </c>
      <c r="B34" s="11" t="n">
        <v>1</v>
      </c>
    </row>
    <row r="35">
      <c r="A35" s="10" t="inlineStr">
        <is>
          <t>OPS</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1</v>
      </c>
      <c r="D2" t="n">
        <v>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2026-04-27T10:55:54Z</dcterms:created>
  <dcterms:modified xsi:type="dcterms:W3CDTF">2026-04-27T10:55:54Z</dcterms:modified>
</cp:coreProperties>
</file>