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'収束グラフ'!$A$2:$A$50</f>
            </strRef>
          </cat>
          <val>
            <numRef>
              <f>'収束グラフ'!$B$2:$B$50</f>
            </numRef>
          </val>
        </ser>
        <ser>
          <idx val="1"/>
          <order val="1"/>
          <tx>
            <strRef>
              <f>'収束グラフ'!C1</f>
            </strRef>
          </tx>
          <spPr>
            <a:ln w="20000">
              <a:solidFill>
                <a:srgbClr val="4472C4"/>
              </a:solidFill>
              <a:prstDash val="solid"/>
            </a:ln>
          </spPr>
          <marker>
            <symbol val="none"/>
            <spPr>
              <a:ln>
                <a:prstDash val="solid"/>
              </a:ln>
            </spPr>
          </marker>
          <cat>
            <strRef>
              <f>'収束グラフ'!$A$2:$A$50</f>
            </strRef>
          </cat>
          <val>
            <numRef>
              <f>'収束グラフ'!$C$2:$C$50</f>
            </numRef>
          </val>
        </ser>
        <ser>
          <idx val="2"/>
          <order val="2"/>
          <tx>
            <strRef>
              <f>'収束グラフ'!D1</f>
            </strRef>
          </tx>
          <spPr>
            <a:ln w="20000">
              <a:solidFill>
                <a:srgbClr val="70AD47"/>
              </a:solidFill>
              <a:prstDash val="solid"/>
            </a:ln>
          </spPr>
          <marker>
            <symbol val="none"/>
            <spPr>
              <a:ln>
                <a:prstDash val="solid"/>
              </a:ln>
            </spPr>
          </marker>
          <cat>
            <strRef>
              <f>'収束グラフ'!$A$2:$A$50</f>
            </strRef>
          </cat>
          <val>
            <numRef>
              <f>'収束グラフ'!$D$2:$D$50</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sheetData>
  <dataValidations count="5">
    <dataValidation sqref="K2:K92" showDropDown="0" showInputMessage="0" showErrorMessage="0" allowBlank="1" type="list">
      <formula1>"未対応,対応中,対応完了,解決済,却下"</formula1>
    </dataValidation>
    <dataValidation sqref="E2:E92" showDropDown="0" showInputMessage="0" showErrorMessage="0" allowBlank="1" type="list">
      <formula1>"高,中,低"</formula1>
    </dataValidation>
    <dataValidation sqref="D2:D92" showDropDown="0" showInputMessage="0" showErrorMessage="0" allowBlank="1" type="list">
      <formula1>"機能追加,改善,調査,設計"</formula1>
    </dataValidation>
    <dataValidation sqref="I2:I92" showDropDown="0" showInputMessage="0" showErrorMessage="0" allowBlank="1" type="list">
      <formula1>"URD,SRS,HLD,LLD,COD,UT,IT,ST,OPS"</formula1>
    </dataValidation>
    <dataValidation sqref="J2:J9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91</v>
      </c>
    </row>
    <row r="3">
      <c r="A3" s="10" t="inlineStr">
        <is>
          <t>未解決件数</t>
        </is>
      </c>
      <c r="B3" s="11" t="n">
        <v>21</v>
      </c>
    </row>
    <row r="4">
      <c r="A4" s="10" t="inlineStr">
        <is>
          <t>解決済件数</t>
        </is>
      </c>
      <c r="B4" s="11" t="n">
        <v>53</v>
      </c>
    </row>
    <row r="5">
      <c r="A5" s="10" t="inlineStr">
        <is>
          <t>解決率</t>
        </is>
      </c>
      <c r="B5" s="11" t="inlineStr">
        <is>
          <t>58.2%</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0</v>
      </c>
    </row>
    <row r="11">
      <c r="A11" s="10" t="inlineStr">
        <is>
          <t>解決済</t>
        </is>
      </c>
      <c r="B11" s="11" t="n">
        <v>53</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8</v>
      </c>
    </row>
    <row r="17">
      <c r="A17" s="10" t="inlineStr">
        <is>
          <t>低</t>
        </is>
      </c>
      <c r="B17" s="11" t="n">
        <v>2</v>
      </c>
    </row>
    <row r="19">
      <c r="A19" s="8" t="inlineStr">
        <is>
          <t>種別別（未解決）</t>
        </is>
      </c>
      <c r="B19" s="9" t="n"/>
    </row>
    <row r="20">
      <c r="A20" s="10" t="inlineStr">
        <is>
          <t>機能追加</t>
        </is>
      </c>
      <c r="B20" s="11" t="n">
        <v>9</v>
      </c>
    </row>
    <row r="21">
      <c r="A21" s="10" t="inlineStr">
        <is>
          <t>改善</t>
        </is>
      </c>
      <c r="B21" s="11" t="n">
        <v>11</v>
      </c>
    </row>
    <row r="22">
      <c r="A22" s="10" t="inlineStr">
        <is>
          <t>調査</t>
        </is>
      </c>
      <c r="B22" s="11" t="n">
        <v>1</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3</v>
      </c>
    </row>
    <row r="28">
      <c r="A28" s="10" t="inlineStr">
        <is>
          <t>その他</t>
        </is>
      </c>
      <c r="B28" s="11" t="n">
        <v>4</v>
      </c>
    </row>
    <row r="30">
      <c r="A30" s="8" t="inlineStr">
        <is>
          <t>ステージ別（未解決）</t>
        </is>
      </c>
      <c r="B30" s="9" t="n"/>
    </row>
    <row r="31">
      <c r="A31" s="10" t="inlineStr">
        <is>
          <t>SRS</t>
        </is>
      </c>
      <c r="B31" s="11" t="n">
        <v>19</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91</v>
      </c>
      <c r="C50" t="n">
        <v>56</v>
      </c>
      <c r="D50" t="n">
        <v>70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2026-06-14T03:13:19Z</dcterms:created>
  <dcterms:modified xsi:type="dcterms:W3CDTF">2026-06-14T03:13:19Z</dcterms:modified>
</cp:coreProperties>
</file>