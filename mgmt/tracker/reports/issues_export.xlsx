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'収束グラフ'!$A$2:$A$45</f>
            </strRef>
          </cat>
          <val>
            <numRef>
              <f>'収束グラフ'!$B$2:$B$45</f>
            </numRef>
          </val>
        </ser>
        <ser>
          <idx val="1"/>
          <order val="1"/>
          <tx>
            <strRef>
              <f>'収束グラフ'!C1</f>
            </strRef>
          </tx>
          <spPr>
            <a:ln w="20000">
              <a:solidFill>
                <a:srgbClr val="4472C4"/>
              </a:solidFill>
              <a:prstDash val="solid"/>
            </a:ln>
          </spPr>
          <marker>
            <symbol val="none"/>
            <spPr>
              <a:ln>
                <a:prstDash val="solid"/>
              </a:ln>
            </spPr>
          </marker>
          <cat>
            <strRef>
              <f>'収束グラフ'!$A$2:$A$45</f>
            </strRef>
          </cat>
          <val>
            <numRef>
              <f>'収束グラフ'!$C$2:$C$45</f>
            </numRef>
          </val>
        </ser>
        <ser>
          <idx val="2"/>
          <order val="2"/>
          <tx>
            <strRef>
              <f>'収束グラフ'!D1</f>
            </strRef>
          </tx>
          <spPr>
            <a:ln w="20000">
              <a:solidFill>
                <a:srgbClr val="70AD47"/>
              </a:solidFill>
              <a:prstDash val="solid"/>
            </a:ln>
          </spPr>
          <marker>
            <symbol val="none"/>
            <spPr>
              <a:ln>
                <a:prstDash val="solid"/>
              </a:ln>
            </spPr>
          </marker>
          <cat>
            <strRef>
              <f>'収束グラフ'!$A$2:$A$45</f>
            </strRef>
          </cat>
          <val>
            <numRef>
              <f>'収束グラフ'!$D$2:$D$45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未対応</t>
        </is>
      </c>
      <c r="L83" s="7" t="inlineStr"/>
      <c r="M83" s="7" t="inlineStr"/>
      <c r="N83" s="7" t="inlineStr">
        <is>
          <t>FR-015 レビュー（観点 G）の別 ISSUE として登録。CLAUDE.md のフォーマット標準『他 FR/UR/NFR/セクションへの参照は Markdown リンクで記述する』が根拠</t>
        </is>
      </c>
      <c r="O83" s="7" t="inlineStr"/>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未対応</t>
        </is>
      </c>
      <c r="L87" s="7" t="inlineStr"/>
      <c r="M87" s="7" t="inlineStr"/>
      <c r="N87" s="7" t="inlineStr">
        <is>
          <t>FR-015 レビュー（観点 B 実装側追従）の別 ISSUE として登録</t>
        </is>
      </c>
      <c r="O87" s="7" t="inlineStr"/>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sheetData>
  <dataValidations count="5">
    <dataValidation sqref="K2:K88" showDropDown="0" showInputMessage="0" showErrorMessage="0" allowBlank="1" type="list">
      <formula1>"未対応,対応中,対応完了,解決済,却下"</formula1>
    </dataValidation>
    <dataValidation sqref="E2:E88" showDropDown="0" showInputMessage="0" showErrorMessage="0" allowBlank="1" type="list">
      <formula1>"高,中,低"</formula1>
    </dataValidation>
    <dataValidation sqref="D2:D88" showDropDown="0" showInputMessage="0" showErrorMessage="0" allowBlank="1" type="list">
      <formula1>"機能追加,改善,調査,設計"</formula1>
    </dataValidation>
    <dataValidation sqref="I2:I88" showDropDown="0" showInputMessage="0" showErrorMessage="0" allowBlank="1" type="list">
      <formula1>"URD,SRS,HLD,LLD,COD,UT,IT,ST,OPS"</formula1>
    </dataValidation>
    <dataValidation sqref="J2:J8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87</v>
      </c>
    </row>
    <row r="3">
      <c r="A3" s="10" t="inlineStr">
        <is>
          <t>未解決件数</t>
        </is>
      </c>
      <c r="B3" s="11" t="n">
        <v>28</v>
      </c>
    </row>
    <row r="4">
      <c r="A4" s="10" t="inlineStr">
        <is>
          <t>解決済件数</t>
        </is>
      </c>
      <c r="B4" s="11" t="n">
        <v>42</v>
      </c>
    </row>
    <row r="5">
      <c r="A5" s="10" t="inlineStr">
        <is>
          <t>解決率</t>
        </is>
      </c>
      <c r="B5" s="11" t="inlineStr">
        <is>
          <t>48.3%</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1</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10</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17</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25</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2026-06-09T06:26:46Z</dcterms:created>
  <dcterms:modified xsi:type="dcterms:W3CDTF">2026-06-09T06:26:46Z</dcterms:modified>
</cp:coreProperties>
</file>