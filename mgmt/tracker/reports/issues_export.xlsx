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'収束グラフ'!$A$2:$A$48</f>
            </strRef>
          </cat>
          <val>
            <numRef>
              <f>'収束グラフ'!$B$2:$B$48</f>
            </numRef>
          </val>
        </ser>
        <ser>
          <idx val="1"/>
          <order val="1"/>
          <tx>
            <strRef>
              <f>'収束グラフ'!C1</f>
            </strRef>
          </tx>
          <spPr>
            <a:ln w="20000">
              <a:solidFill>
                <a:srgbClr val="4472C4"/>
              </a:solidFill>
              <a:prstDash val="solid"/>
            </a:ln>
          </spPr>
          <marker>
            <symbol val="none"/>
            <spPr>
              <a:ln>
                <a:prstDash val="solid"/>
              </a:ln>
            </spPr>
          </marker>
          <cat>
            <strRef>
              <f>'収束グラフ'!$A$2:$A$48</f>
            </strRef>
          </cat>
          <val>
            <numRef>
              <f>'収束グラフ'!$C$2:$C$48</f>
            </numRef>
          </val>
        </ser>
        <ser>
          <idx val="2"/>
          <order val="2"/>
          <tx>
            <strRef>
              <f>'収束グラフ'!D1</f>
            </strRef>
          </tx>
          <spPr>
            <a:ln w="20000">
              <a:solidFill>
                <a:srgbClr val="70AD47"/>
              </a:solidFill>
              <a:prstDash val="solid"/>
            </a:ln>
          </spPr>
          <marker>
            <symbol val="none"/>
            <spPr>
              <a:ln>
                <a:prstDash val="solid"/>
              </a:ln>
            </spPr>
          </marker>
          <cat>
            <strRef>
              <f>'収束グラフ'!$A$2:$A$48</f>
            </strRef>
          </cat>
          <val>
            <numRef>
              <f>'収束グラフ'!$D$2:$D$48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対応完了</t>
        </is>
      </c>
      <c r="L52" s="6" t="inlineStr"/>
      <c r="M52" s="6" t="inlineStr"/>
      <c r="N52" s="6" t="inlineStr"/>
      <c r="O52" s="6" t="inlineStr">
        <is>
          <t>2026-06-12</t>
        </is>
      </c>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対応完了</t>
        </is>
      </c>
      <c r="L53" s="7" t="inlineStr"/>
      <c r="M53" s="7" t="inlineStr"/>
      <c r="N53" s="7" t="inlineStr"/>
      <c r="O53" s="7" t="inlineStr">
        <is>
          <t>2026-06-12</t>
        </is>
      </c>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対応完了</t>
        </is>
      </c>
      <c r="L83" s="7" t="inlineStr"/>
      <c r="M83" s="7" t="inlineStr"/>
      <c r="N83" s="7" t="inlineStr">
        <is>
          <t>FR-015 レビュー（観点 G）の別 ISSUE として登録。CLAUDE.md のフォーマット標準『他 FR/UR/NFR/セクションへの参照は Markdown リンクで記述する』が根拠</t>
        </is>
      </c>
      <c r="O83" s="7" t="inlineStr">
        <is>
          <t>2026-06-12</t>
        </is>
      </c>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対応完了</t>
        </is>
      </c>
      <c r="L87" s="7" t="inlineStr"/>
      <c r="M87" s="7" t="inlineStr"/>
      <c r="N87" s="7" t="inlineStr">
        <is>
          <t>FR-015 レビュー（観点 B 実装側追従）の別 ISSUE として登録</t>
        </is>
      </c>
      <c r="O87" s="7" t="inlineStr">
        <is>
          <t>2026-06-12</t>
        </is>
      </c>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7" t="inlineStr">
        <is>
          <t>ISSUE-088</t>
        </is>
      </c>
      <c r="B89" s="7" t="inlineStr">
        <is>
          <t>SRS FR-004 メッシュ結合解析のレビュー反映</t>
        </is>
      </c>
      <c r="C89" s="7"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7" t="inlineStr">
        <is>
          <t>改善</t>
        </is>
      </c>
      <c r="E89" s="4" t="inlineStr">
        <is>
          <t>中</t>
        </is>
      </c>
      <c r="F89" s="7" t="inlineStr">
        <is>
          <t>その他</t>
        </is>
      </c>
      <c r="G89" s="7" t="inlineStr">
        <is>
          <t>JJ1XGO</t>
        </is>
      </c>
      <c r="H89" s="7" t="inlineStr">
        <is>
          <t>2026-06-11</t>
        </is>
      </c>
      <c r="I89" s="7" t="inlineStr">
        <is>
          <t>SRS</t>
        </is>
      </c>
      <c r="J89" s="7" t="inlineStr">
        <is>
          <t>SRS</t>
        </is>
      </c>
      <c r="K89" s="7" t="inlineStr">
        <is>
          <t>対応完了</t>
        </is>
      </c>
      <c r="L89" s="7" t="inlineStr">
        <is>
          <t>Fable</t>
        </is>
      </c>
      <c r="M89" s="7" t="inlineStr">
        <is>
          <t>SRS FR-004 セクション・FR-007（観点 D）・ADR-SRS-003（観点 A）を修正し、処理フロー図を追加する</t>
        </is>
      </c>
      <c r="N89" s="7" t="inlineStr"/>
      <c r="O89" s="7" t="inlineStr">
        <is>
          <t>2026-06-11</t>
        </is>
      </c>
      <c r="P89" s="7" t="inlineStr"/>
    </row>
    <row r="90" ht="40" customHeight="1">
      <c r="A90" s="6" t="inlineStr">
        <is>
          <t>ISSUE-089</t>
        </is>
      </c>
      <c r="B90" s="6" t="inlineStr">
        <is>
          <t>SRS FR-004 第2回レビュー反映（タイトル・入力・解析識別子・異常系）</t>
        </is>
      </c>
      <c r="C90" s="6"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6" t="inlineStr"/>
      <c r="E90" s="4" t="inlineStr">
        <is>
          <t>中</t>
        </is>
      </c>
      <c r="F90" s="6" t="inlineStr">
        <is>
          <t>その他</t>
        </is>
      </c>
      <c r="G90" s="6" t="inlineStr"/>
      <c r="H90" s="6" t="inlineStr">
        <is>
          <t>2026-06-12</t>
        </is>
      </c>
      <c r="I90" s="6" t="inlineStr"/>
      <c r="J90" s="6" t="inlineStr"/>
      <c r="K90" s="6" t="inlineStr">
        <is>
          <t>対応完了</t>
        </is>
      </c>
      <c r="L90" s="6" t="inlineStr"/>
      <c r="M90" s="6" t="inlineStr"/>
      <c r="N90" s="6" t="inlineStr"/>
      <c r="O90" s="6" t="inlineStr">
        <is>
          <t>2026-06-12</t>
        </is>
      </c>
      <c r="P90" s="6" t="inlineStr"/>
    </row>
    <row r="91" ht="40" customHeight="1">
      <c r="A91" s="7" t="inlineStr">
        <is>
          <t>ISSUE-090</t>
        </is>
      </c>
      <c r="B91" s="7" t="inlineStr">
        <is>
          <t>SRS FR-014 広域結合解析のレビュー反映</t>
        </is>
      </c>
      <c r="C91" s="7"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7" t="inlineStr">
        <is>
          <t>改善</t>
        </is>
      </c>
      <c r="E91" s="4" t="inlineStr">
        <is>
          <t>中</t>
        </is>
      </c>
      <c r="F91" s="7" t="inlineStr">
        <is>
          <t>その他</t>
        </is>
      </c>
      <c r="G91" s="7" t="inlineStr"/>
      <c r="H91" s="7" t="inlineStr">
        <is>
          <t>2026-06-12</t>
        </is>
      </c>
      <c r="I91" s="7" t="inlineStr">
        <is>
          <t>SRS</t>
        </is>
      </c>
      <c r="J91" s="7" t="inlineStr"/>
      <c r="K91" s="7" t="inlineStr">
        <is>
          <t>対応中</t>
        </is>
      </c>
      <c r="L91" s="7" t="inlineStr"/>
      <c r="M91" s="7" t="inlineStr">
        <is>
          <t>docs/20_SRS.md（FR-014/007/015/022・俯瞰図）と ADR-SRS-004 を改訂。修正後にユーザーレビューを実施し第2回反映を行う。持ち越し議論: 解析範囲サイズ N の種別・B群推奨案の妥当性。</t>
        </is>
      </c>
      <c r="N91" s="7" t="inlineStr"/>
      <c r="O91" s="7" t="inlineStr"/>
      <c r="P91" s="7" t="inlineStr"/>
    </row>
  </sheetData>
  <dataValidations count="5">
    <dataValidation sqref="K2:K91" showDropDown="0" showInputMessage="0" showErrorMessage="0" allowBlank="1" type="list">
      <formula1>"未対応,対応中,対応完了,解決済,却下"</formula1>
    </dataValidation>
    <dataValidation sqref="E2:E91" showDropDown="0" showInputMessage="0" showErrorMessage="0" allowBlank="1" type="list">
      <formula1>"高,中,低"</formula1>
    </dataValidation>
    <dataValidation sqref="D2:D91" showDropDown="0" showInputMessage="0" showErrorMessage="0" allowBlank="1" type="list">
      <formula1>"機能追加,改善,調査,設計"</formula1>
    </dataValidation>
    <dataValidation sqref="I2:I91" showDropDown="0" showInputMessage="0" showErrorMessage="0" allowBlank="1" type="list">
      <formula1>"URD,SRS,HLD,LLD,COD,UT,IT,ST,OPS"</formula1>
    </dataValidation>
    <dataValidation sqref="J2:J9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90</v>
      </c>
    </row>
    <row r="3">
      <c r="A3" s="10" t="inlineStr">
        <is>
          <t>未解決件数</t>
        </is>
      </c>
      <c r="B3" s="11" t="n">
        <v>31</v>
      </c>
    </row>
    <row r="4">
      <c r="A4" s="10" t="inlineStr">
        <is>
          <t>解決済件数</t>
        </is>
      </c>
      <c r="B4" s="11" t="n">
        <v>42</v>
      </c>
    </row>
    <row r="5">
      <c r="A5" s="10" t="inlineStr">
        <is>
          <t>解決率</t>
        </is>
      </c>
      <c r="B5" s="11" t="inlineStr">
        <is>
          <t>46.7%</t>
        </is>
      </c>
    </row>
    <row r="7">
      <c r="A7" s="8" t="inlineStr">
        <is>
          <t>ステータス別</t>
        </is>
      </c>
      <c r="B7" s="9" t="n"/>
    </row>
    <row r="8">
      <c r="A8" s="10" t="inlineStr">
        <is>
          <t>未対応</t>
        </is>
      </c>
      <c r="B8" s="11" t="n">
        <v>23</v>
      </c>
    </row>
    <row r="9">
      <c r="A9" s="10" t="inlineStr">
        <is>
          <t>対応中</t>
        </is>
      </c>
      <c r="B9" s="11" t="n">
        <v>1</v>
      </c>
    </row>
    <row r="10">
      <c r="A10" s="10" t="inlineStr">
        <is>
          <t>対応完了</t>
        </is>
      </c>
      <c r="B10" s="11" t="n">
        <v>7</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13</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19</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7</v>
      </c>
    </row>
    <row r="31">
      <c r="A31" s="8" t="inlineStr">
        <is>
          <t>ステージ別（未解決）</t>
        </is>
      </c>
      <c r="B31" s="9" t="n"/>
    </row>
    <row r="32">
      <c r="A32" s="10" t="inlineStr">
        <is>
          <t>SRS</t>
        </is>
      </c>
      <c r="B32" s="11" t="n">
        <v>27</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90</v>
      </c>
      <c r="C48" t="n">
        <v>52</v>
      </c>
      <c r="D48"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2026-06-12T05:35:08Z</dcterms:created>
  <dcterms:modified xsi:type="dcterms:W3CDTF">2026-06-12T05:35:09Z</dcterms:modified>
</cp:coreProperties>
</file>