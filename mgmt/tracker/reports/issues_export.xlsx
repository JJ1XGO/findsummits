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1">
    <numFmt numFmtId="164" formatCode="YYYY-MM-DD"/>
  </numFmts>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3">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xf numFmtId="164"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scatterChart>
        <ser>
          <idx val="0"/>
          <order val="0"/>
          <tx>
            <v>累計登録</v>
          </tx>
          <spPr>
            <a:ln w="20000">
              <a:solidFill>
                <a:srgbClr val="FF0000"/>
              </a:solidFill>
              <a:prstDash val="solid"/>
            </a:ln>
          </spPr>
          <marker>
            <symbol val="circle"/>
            <size val="5"/>
            <spPr>
              <a:ln>
                <a:prstDash val="solid"/>
              </a:ln>
            </spPr>
          </marker>
          <xVal>
            <numRef>
              <f>'収束グラフ'!$A$2:$A$22</f>
            </numRef>
          </xVal>
          <yVal>
            <numRef>
              <f>'収束グラフ'!$B$2:$B$22</f>
            </numRef>
          </yVal>
        </ser>
        <ser>
          <idx val="1"/>
          <order val="1"/>
          <tx>
            <v>対応累計</v>
          </tx>
          <spPr>
            <a:ln w="20000">
              <a:solidFill>
                <a:srgbClr val="4472C4"/>
              </a:solidFill>
              <a:prstDash val="solid"/>
            </a:ln>
          </spPr>
          <marker>
            <symbol val="circle"/>
            <size val="5"/>
            <spPr>
              <a:ln>
                <a:prstDash val="solid"/>
              </a:ln>
            </spPr>
          </marker>
          <xVal>
            <numRef>
              <f>'収束グラフ'!$A$2:$A$22</f>
            </numRef>
          </xVal>
          <yVal>
            <numRef>
              <f>'収束グラフ'!$C$2:$C$22</f>
            </numRef>
          </yVal>
        </ser>
        <ser>
          <idx val="2"/>
          <order val="2"/>
          <tx>
            <v>確認累計</v>
          </tx>
          <spPr>
            <a:ln w="20000">
              <a:solidFill>
                <a:srgbClr val="70AD47"/>
              </a:solidFill>
              <a:prstDash val="solid"/>
            </a:ln>
          </spPr>
          <marker>
            <symbol val="circle"/>
            <size val="5"/>
            <spPr>
              <a:ln>
                <a:prstDash val="solid"/>
              </a:ln>
            </spPr>
          </marker>
          <xVal>
            <numRef>
              <f>'収束グラフ'!$A$2:$A$22</f>
            </numRef>
          </xVal>
          <yVal>
            <numRef>
              <f>'収束グラフ'!$D$2:$D$22</f>
            </numRef>
          </yVal>
        </ser>
        <axId val="10"/>
        <axId val="20"/>
      </scatterChart>
      <valAx>
        <axId val="10"/>
        <scaling>
          <orientation val="minMax"/>
          <max val="46159"/>
          <min val="46139"/>
        </scaling>
        <axPos val="l"/>
        <majorGridlines/>
        <title>
          <tx>
            <rich>
              <a:bodyPr/>
              <a:p>
                <a:pPr>
                  <a:defRPr/>
                </a:pPr>
                <a:r>
                  <a:t>日付</a:t>
                </a:r>
              </a:p>
            </rich>
          </tx>
        </title>
        <numFmt formatCode="YYYY-MM-DD" sourceLinked="0"/>
        <majorTickMark val="none"/>
        <minorTickMark val="none"/>
        <crossAx val="20"/>
      </valAx>
      <valAx>
        <axId val="2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3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着手前に plan.md の Ph.2〜Ph.5 設計と現在のアーキテクチャの整合を確認すること。ref/SOTA-Summit-list-revision-request.xlsx の列定義を事前確認。</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7" t="inlineStr">
        <is>
          <t>ISSUE-014</t>
        </is>
      </c>
      <c r="B15" s="7" t="inlineStr">
        <is>
          <t>削除候補サミットの最近接検出ピーク特定</t>
        </is>
      </c>
      <c r="C15" s="7"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7" t="inlineStr">
        <is>
          <t>機能追加</t>
        </is>
      </c>
      <c r="E15" s="5" t="inlineStr">
        <is>
          <t>中</t>
        </is>
      </c>
      <c r="F15" s="7" t="inlineStr"/>
      <c r="G15" s="7" t="inlineStr"/>
      <c r="H15" s="7" t="inlineStr">
        <is>
          <t>2026-05-09</t>
        </is>
      </c>
      <c r="I15" s="7" t="inlineStr">
        <is>
          <t>SRS</t>
        </is>
      </c>
      <c r="J15" s="7" t="inlineStr">
        <is>
          <t>対応完了</t>
        </is>
      </c>
      <c r="K15" s="7" t="inlineStr"/>
      <c r="L15" s="7" t="inlineStr"/>
      <c r="M15" s="7" t="inlineStr"/>
      <c r="N15" s="7" t="inlineStr">
        <is>
          <t>2026-05-10</t>
        </is>
      </c>
      <c r="O15" s="7" t="inlineStr"/>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4" t="inlineStr">
        <is>
          <t>ISSUE-019</t>
        </is>
      </c>
      <c r="B20" s="4" t="inlineStr">
        <is>
          <t>FR-009: 仮サミットコード採番順序の規定</t>
        </is>
      </c>
      <c r="C20" s="4"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4" t="inlineStr">
        <is>
          <t>設計</t>
        </is>
      </c>
      <c r="E20" s="3" t="inlineStr">
        <is>
          <t>高</t>
        </is>
      </c>
      <c r="F20" s="4" t="inlineStr">
        <is>
          <t>merge.py</t>
        </is>
      </c>
      <c r="G20" s="4" t="inlineStr"/>
      <c r="H20" s="4" t="inlineStr">
        <is>
          <t>2026-05-14</t>
        </is>
      </c>
      <c r="I20" s="4" t="inlineStr">
        <is>
          <t>SRS</t>
        </is>
      </c>
      <c r="J20" s="4" t="inlineStr">
        <is>
          <t>未対応</t>
        </is>
      </c>
      <c r="K20" s="4" t="inlineStr"/>
      <c r="L20" s="4"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4" t="inlineStr"/>
      <c r="N20" s="4" t="inlineStr"/>
      <c r="O20" s="4" t="inlineStr"/>
    </row>
    <row r="21" ht="40" customHeight="1">
      <c r="A21" s="7" t="inlineStr">
        <is>
          <t>ISSUE-020</t>
        </is>
      </c>
      <c r="B21" s="7" t="inlineStr">
        <is>
          <t>FR-013 / FR-014: 手動調査待ちピークの GeoJSON フィーチャ扱い</t>
        </is>
      </c>
      <c r="C21" s="7"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7" t="inlineStr">
        <is>
          <t>設計</t>
        </is>
      </c>
      <c r="E21" s="3" t="inlineStr">
        <is>
          <t>高</t>
        </is>
      </c>
      <c r="F21" s="7" t="inlineStr">
        <is>
          <t>GeoJSON出力</t>
        </is>
      </c>
      <c r="G21" s="7" t="inlineStr"/>
      <c r="H21" s="7" t="inlineStr">
        <is>
          <t>2026-05-14</t>
        </is>
      </c>
      <c r="I21" s="7" t="inlineStr">
        <is>
          <t>SRS</t>
        </is>
      </c>
      <c r="J21" s="7" t="inlineStr">
        <is>
          <t>未対応</t>
        </is>
      </c>
      <c r="K21" s="7" t="inlineStr"/>
      <c r="L21" s="7" t="inlineStr">
        <is>
          <t>以下のいずれかを SRS で確定し、FR-013 / FR-014 を改訂:
案A: 手動調査待ちピークは FR-013 出力から除外（または専用カテゴリ）
案B: コル等高線がない場合のフォールバック表現（仮 Polygon / 空 Polygon / 省略可フラグ）を FR-013 に規定
案C: 第4の match_status カテゴリ 'unresolved' を追加
併せて area_truncated=true が残るケースの FR-014 挙動も明示。</t>
        </is>
      </c>
      <c r="M21" s="7" t="inlineStr"/>
      <c r="N21" s="7" t="inlineStr"/>
      <c r="O21" s="7" t="inlineStr"/>
    </row>
    <row r="22" ht="40" customHeight="1">
      <c r="A22" s="4" t="inlineStr">
        <is>
          <t>ISSUE-021</t>
        </is>
      </c>
      <c r="B22" s="4" t="inlineStr">
        <is>
          <t>FR-014: 上書きスコープ（per-mesh 更新有無）の明確化</t>
        </is>
      </c>
      <c r="C22" s="4"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4" t="inlineStr">
        <is>
          <t>改善</t>
        </is>
      </c>
      <c r="E22" s="5" t="inlineStr">
        <is>
          <t>中</t>
        </is>
      </c>
      <c r="F22" s="4" t="inlineStr">
        <is>
          <t>merge.py</t>
        </is>
      </c>
      <c r="G22" s="4" t="inlineStr"/>
      <c r="H22" s="4" t="inlineStr">
        <is>
          <t>2026-05-14</t>
        </is>
      </c>
      <c r="I22" s="4" t="inlineStr">
        <is>
          <t>SRS</t>
        </is>
      </c>
      <c r="J22" s="4" t="inlineStr">
        <is>
          <t>未対応</t>
        </is>
      </c>
      <c r="K22" s="4" t="inlineStr"/>
      <c r="L22" s="4" t="inlineStr">
        <is>
          <t>FR-014 出力節に以下のいずれかを明示:
案A: 'per-mesh ファイルは更新せず、merged.csv / merged_activation.geojson のみ更新'
案B: '中間ファイルも更新する'（再現性向上のため）</t>
        </is>
      </c>
      <c r="M22" s="4" t="inlineStr"/>
      <c r="N22" s="4" t="inlineStr"/>
      <c r="O22" s="4" t="inlineStr"/>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4" t="inlineStr">
        <is>
          <t>ISSUE-025</t>
        </is>
      </c>
      <c r="B26" s="4" t="inlineStr">
        <is>
          <t>FR-009 等: 標高バンド境界値（points 1/2/4/6/8/10）の規定</t>
        </is>
      </c>
      <c r="C26" s="4"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4" t="inlineStr">
        <is>
          <t>設計</t>
        </is>
      </c>
      <c r="E26" s="5" t="inlineStr">
        <is>
          <t>中</t>
        </is>
      </c>
      <c r="F26" s="4" t="inlineStr">
        <is>
          <t>merge.py</t>
        </is>
      </c>
      <c r="G26" s="4" t="inlineStr"/>
      <c r="H26" s="4" t="inlineStr">
        <is>
          <t>2026-05-14</t>
        </is>
      </c>
      <c r="I26" s="4" t="inlineStr">
        <is>
          <t>SRS</t>
        </is>
      </c>
      <c r="J26" s="4" t="inlineStr">
        <is>
          <t>未対応</t>
        </is>
      </c>
      <c r="K26" s="4" t="inlineStr"/>
      <c r="L26" s="4" t="inlineStr">
        <is>
          <t>FR-009 の用語定義または GLOSSARY で標高バンド境界表を提示する（SOTA 日本支部の正式表を出典として引用）。緯度区分がある場合は区分も含めて表で記述。</t>
        </is>
      </c>
      <c r="M26" s="4" t="inlineStr"/>
      <c r="N26" s="4" t="inlineStr"/>
      <c r="O26" s="4" t="inlineStr"/>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4" t="inlineStr">
        <is>
          <t>ISSUE-033</t>
        </is>
      </c>
      <c r="B34" s="4" t="inlineStr">
        <is>
          <t>SRS FR-018: FR-014 参照記述の整合性修正（フェーズ構成組み替えの取り残し）</t>
        </is>
      </c>
      <c r="C34" s="4"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4" t="inlineStr">
        <is>
          <t>設計</t>
        </is>
      </c>
      <c r="E34" s="3" t="inlineStr">
        <is>
          <t>高</t>
        </is>
      </c>
      <c r="F34" s="4" t="inlineStr">
        <is>
          <t>解析エンジン</t>
        </is>
      </c>
      <c r="G34" s="4" t="inlineStr"/>
      <c r="H34" s="4" t="inlineStr">
        <is>
          <t>2026-05-17</t>
        </is>
      </c>
      <c r="I34" s="4" t="inlineStr">
        <is>
          <t>SRS</t>
        </is>
      </c>
      <c r="J34" s="4" t="inlineStr">
        <is>
          <t>未対応</t>
        </is>
      </c>
      <c r="K34" s="4" t="inlineStr"/>
      <c r="L34" s="4"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4" t="inlineStr"/>
      <c r="N34" s="4" t="inlineStr"/>
      <c r="O34" s="4" t="inlineStr"/>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COD</t>
        </is>
      </c>
      <c r="J37" s="7" t="inlineStr">
        <is>
          <t>未対応</t>
        </is>
      </c>
      <c r="K37" s="7" t="inlineStr"/>
      <c r="L37" s="7" t="inlineStr"/>
      <c r="M37" s="7" t="inlineStr"/>
      <c r="N37" s="7" t="inlineStr"/>
      <c r="O37" s="7" t="inlineStr"/>
    </row>
  </sheetData>
  <dataValidations count="4">
    <dataValidation sqref="J2:J37" showDropDown="0" showInputMessage="0" showErrorMessage="0" allowBlank="1" type="list">
      <formula1>"未対応,対応中,対応完了,解決済,却下"</formula1>
    </dataValidation>
    <dataValidation sqref="E2:E37" showDropDown="0" showInputMessage="0" showErrorMessage="0" allowBlank="1" type="list">
      <formula1>"高,中,低"</formula1>
    </dataValidation>
    <dataValidation sqref="D2:D37" showDropDown="0" showInputMessage="0" showErrorMessage="0" allowBlank="1" type="list">
      <formula1>"機能追加,改善,調査,設計"</formula1>
    </dataValidation>
    <dataValidation sqref="I2:I3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6"/>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36</v>
      </c>
    </row>
    <row r="3">
      <c r="A3" s="10" t="inlineStr">
        <is>
          <t>未解決件数</t>
        </is>
      </c>
      <c r="B3" s="11" t="n">
        <v>23</v>
      </c>
    </row>
    <row r="4">
      <c r="A4" s="10" t="inlineStr">
        <is>
          <t>解決済件数</t>
        </is>
      </c>
      <c r="B4" s="11" t="n">
        <v>9</v>
      </c>
    </row>
    <row r="5">
      <c r="A5" s="10" t="inlineStr">
        <is>
          <t>解決率</t>
        </is>
      </c>
      <c r="B5" s="11" t="inlineStr">
        <is>
          <t>25.0%</t>
        </is>
      </c>
    </row>
    <row r="7">
      <c r="A7" s="8" t="inlineStr">
        <is>
          <t>ステータス別</t>
        </is>
      </c>
      <c r="B7" s="9" t="n"/>
    </row>
    <row r="8">
      <c r="A8" s="10" t="inlineStr">
        <is>
          <t>未対応</t>
        </is>
      </c>
      <c r="B8" s="11" t="n">
        <v>22</v>
      </c>
    </row>
    <row r="9">
      <c r="A9" s="10" t="inlineStr">
        <is>
          <t>対応中</t>
        </is>
      </c>
      <c r="B9" s="11" t="n">
        <v>0</v>
      </c>
    </row>
    <row r="10">
      <c r="A10" s="10" t="inlineStr">
        <is>
          <t>対応完了</t>
        </is>
      </c>
      <c r="B10" s="11" t="n">
        <v>1</v>
      </c>
    </row>
    <row r="11">
      <c r="A11" s="10" t="inlineStr">
        <is>
          <t>解決済</t>
        </is>
      </c>
      <c r="B11" s="11" t="n">
        <v>9</v>
      </c>
    </row>
    <row r="12">
      <c r="A12" s="10" t="inlineStr">
        <is>
          <t>却下</t>
        </is>
      </c>
      <c r="B12" s="11" t="n">
        <v>4</v>
      </c>
    </row>
    <row r="14">
      <c r="A14" s="8" t="inlineStr">
        <is>
          <t>優先度別（未解決）</t>
        </is>
      </c>
      <c r="B14" s="9" t="n"/>
    </row>
    <row r="15">
      <c r="A15" s="10" t="inlineStr">
        <is>
          <t>高</t>
        </is>
      </c>
      <c r="B15" s="11" t="n">
        <v>6</v>
      </c>
    </row>
    <row r="16">
      <c r="A16" s="10" t="inlineStr">
        <is>
          <t>中</t>
        </is>
      </c>
      <c r="B16" s="11" t="n">
        <v>12</v>
      </c>
    </row>
    <row r="17">
      <c r="A17" s="10" t="inlineStr">
        <is>
          <t>低</t>
        </is>
      </c>
      <c r="B17" s="11" t="n">
        <v>5</v>
      </c>
    </row>
    <row r="19">
      <c r="A19" s="8" t="inlineStr">
        <is>
          <t>種別別（未解決）</t>
        </is>
      </c>
      <c r="B19" s="9" t="n"/>
    </row>
    <row r="20">
      <c r="A20" s="10" t="inlineStr">
        <is>
          <t>機能追加</t>
        </is>
      </c>
      <c r="B20" s="11" t="n">
        <v>4</v>
      </c>
    </row>
    <row r="21">
      <c r="A21" s="10" t="inlineStr">
        <is>
          <t>改善</t>
        </is>
      </c>
      <c r="B21" s="11" t="n">
        <v>9</v>
      </c>
    </row>
    <row r="22">
      <c r="A22" s="10" t="inlineStr">
        <is>
          <t>調査</t>
        </is>
      </c>
      <c r="B22" s="11" t="n">
        <v>2</v>
      </c>
    </row>
    <row r="23">
      <c r="A23" s="10" t="inlineStr">
        <is>
          <t>設計</t>
        </is>
      </c>
      <c r="B23" s="11" t="n">
        <v>5</v>
      </c>
    </row>
    <row r="25">
      <c r="A25" s="8" t="inlineStr">
        <is>
          <t>カテゴリ別（未解決）</t>
        </is>
      </c>
      <c r="B25" s="9" t="n"/>
    </row>
    <row r="26">
      <c r="A26" s="10" t="inlineStr">
        <is>
          <t>解析エンジン</t>
        </is>
      </c>
      <c r="B26" s="11" t="n">
        <v>3</v>
      </c>
    </row>
    <row r="27">
      <c r="A27" s="10" t="inlineStr">
        <is>
          <t>merge.py</t>
        </is>
      </c>
      <c r="B27" s="11" t="n">
        <v>5</v>
      </c>
    </row>
    <row r="28">
      <c r="A28" s="10" t="inlineStr">
        <is>
          <t>GeoJSON出力</t>
        </is>
      </c>
      <c r="B28" s="11" t="n">
        <v>1</v>
      </c>
    </row>
    <row r="29">
      <c r="A29" s="10" t="inlineStr">
        <is>
          <t>その他</t>
        </is>
      </c>
      <c r="B29" s="11" t="n">
        <v>10</v>
      </c>
    </row>
    <row r="31">
      <c r="A31" s="8" t="inlineStr">
        <is>
          <t>ステージ別（未解決）</t>
        </is>
      </c>
      <c r="B31" s="9" t="n"/>
    </row>
    <row r="32">
      <c r="A32" s="10" t="inlineStr">
        <is>
          <t>URD</t>
        </is>
      </c>
      <c r="B32" s="11" t="n">
        <v>2</v>
      </c>
    </row>
    <row r="33">
      <c r="A33" s="10" t="inlineStr">
        <is>
          <t>SRS</t>
        </is>
      </c>
      <c r="B33" s="11" t="n">
        <v>14</v>
      </c>
    </row>
    <row r="34">
      <c r="A34" s="10" t="inlineStr">
        <is>
          <t>HLD</t>
        </is>
      </c>
      <c r="B34" s="11" t="n">
        <v>1</v>
      </c>
    </row>
    <row r="35">
      <c r="A35" s="10" t="inlineStr">
        <is>
          <t>COD</t>
        </is>
      </c>
      <c r="B35" s="11" t="n">
        <v>4</v>
      </c>
    </row>
    <row r="36">
      <c r="A36" s="10" t="inlineStr">
        <is>
          <t>ST</t>
        </is>
      </c>
      <c r="B36"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2"/>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s="12" t="n">
        <v>46139</v>
      </c>
      <c r="B2" t="n">
        <v>9</v>
      </c>
      <c r="C2" t="n">
        <v>2</v>
      </c>
      <c r="D2" t="n">
        <v>1</v>
      </c>
    </row>
    <row r="3">
      <c r="A3" s="12" t="n">
        <v>46140</v>
      </c>
      <c r="B3" t="n">
        <v>11</v>
      </c>
      <c r="C3" t="n">
        <v>3</v>
      </c>
      <c r="D3" t="n">
        <v>1</v>
      </c>
    </row>
    <row r="4">
      <c r="A4" s="12" t="n">
        <v>46141</v>
      </c>
      <c r="B4" t="n">
        <v>11</v>
      </c>
      <c r="C4" t="n">
        <v>3</v>
      </c>
      <c r="D4" t="n">
        <v>1</v>
      </c>
    </row>
    <row r="5">
      <c r="A5" s="12" t="n">
        <v>46142</v>
      </c>
      <c r="B5" t="n">
        <v>11</v>
      </c>
      <c r="C5" t="n">
        <v>3</v>
      </c>
      <c r="D5" t="n">
        <v>1</v>
      </c>
    </row>
    <row r="6">
      <c r="A6" s="12" t="n">
        <v>46143</v>
      </c>
      <c r="B6" t="n">
        <v>11</v>
      </c>
      <c r="C6" t="n">
        <v>3</v>
      </c>
      <c r="D6" t="n">
        <v>1</v>
      </c>
    </row>
    <row r="7">
      <c r="A7" s="12" t="n">
        <v>46144</v>
      </c>
      <c r="B7" t="n">
        <v>11</v>
      </c>
      <c r="C7" t="n">
        <v>3</v>
      </c>
      <c r="D7" t="n">
        <v>1</v>
      </c>
    </row>
    <row r="8">
      <c r="A8" s="12" t="n">
        <v>46145</v>
      </c>
      <c r="B8" t="n">
        <v>11</v>
      </c>
      <c r="C8" t="n">
        <v>3</v>
      </c>
      <c r="D8" t="n">
        <v>1</v>
      </c>
    </row>
    <row r="9">
      <c r="A9" s="12" t="n">
        <v>46146</v>
      </c>
      <c r="B9" t="n">
        <v>11</v>
      </c>
      <c r="C9" t="n">
        <v>3</v>
      </c>
      <c r="D9" t="n">
        <v>1</v>
      </c>
    </row>
    <row r="10">
      <c r="A10" s="12" t="n">
        <v>46147</v>
      </c>
      <c r="B10" t="n">
        <v>11</v>
      </c>
      <c r="C10" t="n">
        <v>3</v>
      </c>
      <c r="D10" t="n">
        <v>1</v>
      </c>
    </row>
    <row r="11">
      <c r="A11" s="12" t="n">
        <v>46148</v>
      </c>
      <c r="B11" t="n">
        <v>11</v>
      </c>
      <c r="C11" t="n">
        <v>3</v>
      </c>
      <c r="D11" t="n">
        <v>1</v>
      </c>
    </row>
    <row r="12">
      <c r="A12" s="12" t="n">
        <v>46149</v>
      </c>
      <c r="B12" t="n">
        <v>11</v>
      </c>
      <c r="C12" t="n">
        <v>3</v>
      </c>
      <c r="D12" t="n">
        <v>1</v>
      </c>
    </row>
    <row r="13">
      <c r="A13" s="12" t="n">
        <v>46150</v>
      </c>
      <c r="B13" t="n">
        <v>13</v>
      </c>
      <c r="C13" t="n">
        <v>3</v>
      </c>
      <c r="D13" t="n">
        <v>1</v>
      </c>
    </row>
    <row r="14">
      <c r="A14" s="12" t="n">
        <v>46151</v>
      </c>
      <c r="B14" t="n">
        <v>17</v>
      </c>
      <c r="C14" t="n">
        <v>4</v>
      </c>
      <c r="D14" t="n">
        <v>1</v>
      </c>
    </row>
    <row r="15">
      <c r="A15" s="12" t="n">
        <v>46152</v>
      </c>
      <c r="B15" t="n">
        <v>17</v>
      </c>
      <c r="C15" t="n">
        <v>6</v>
      </c>
      <c r="D15" t="n">
        <v>1</v>
      </c>
    </row>
    <row r="16">
      <c r="A16" s="12" t="n">
        <v>46153</v>
      </c>
      <c r="B16" t="n">
        <v>17</v>
      </c>
      <c r="C16" t="n">
        <v>6</v>
      </c>
      <c r="D16" t="n">
        <v>1</v>
      </c>
    </row>
    <row r="17">
      <c r="A17" s="12" t="n">
        <v>46154</v>
      </c>
      <c r="B17" t="n">
        <v>17</v>
      </c>
      <c r="C17" t="n">
        <v>6</v>
      </c>
      <c r="D17" t="n">
        <v>1</v>
      </c>
    </row>
    <row r="18">
      <c r="A18" s="12" t="n">
        <v>46155</v>
      </c>
      <c r="B18" t="n">
        <v>17</v>
      </c>
      <c r="C18" t="n">
        <v>7</v>
      </c>
      <c r="D18" t="n">
        <v>1</v>
      </c>
    </row>
    <row r="19">
      <c r="A19" s="12" t="n">
        <v>46156</v>
      </c>
      <c r="B19" t="n">
        <v>32</v>
      </c>
      <c r="C19" t="n">
        <v>7</v>
      </c>
      <c r="D19" t="n">
        <v>1</v>
      </c>
    </row>
    <row r="20">
      <c r="A20" s="12" t="n">
        <v>46157</v>
      </c>
      <c r="B20" t="n">
        <v>32</v>
      </c>
      <c r="C20" t="n">
        <v>7</v>
      </c>
      <c r="D20" t="n">
        <v>1</v>
      </c>
    </row>
    <row r="21">
      <c r="A21" s="12" t="n">
        <v>46158</v>
      </c>
      <c r="B21" t="n">
        <v>32</v>
      </c>
      <c r="C21" t="n">
        <v>8</v>
      </c>
      <c r="D21" t="n">
        <v>1</v>
      </c>
    </row>
    <row r="22">
      <c r="A22" s="12" t="n">
        <v>46159</v>
      </c>
      <c r="B22" t="n">
        <v>36</v>
      </c>
      <c r="C22" t="n">
        <v>10</v>
      </c>
      <c r="D22" t="n">
        <v>13</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2026-05-17T06:10:53Z</dcterms:created>
  <dcterms:modified xsi:type="dcterms:W3CDTF">2026-05-17T06:10:54Z</dcterms:modified>
</cp:coreProperties>
</file>