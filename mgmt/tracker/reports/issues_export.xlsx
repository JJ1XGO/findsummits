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'収束グラフ'!$A$2:$A$41</f>
            </strRef>
          </cat>
          <val>
            <numRef>
              <f>'収束グラフ'!$B$2:$B$41</f>
            </numRef>
          </val>
        </ser>
        <ser>
          <idx val="1"/>
          <order val="1"/>
          <tx>
            <strRef>
              <f>'収束グラフ'!C1</f>
            </strRef>
          </tx>
          <spPr>
            <a:ln w="20000">
              <a:solidFill>
                <a:srgbClr val="4472C4"/>
              </a:solidFill>
              <a:prstDash val="solid"/>
            </a:ln>
          </spPr>
          <marker>
            <symbol val="none"/>
            <spPr>
              <a:ln>
                <a:prstDash val="solid"/>
              </a:ln>
            </spPr>
          </marker>
          <cat>
            <strRef>
              <f>'収束グラフ'!$A$2:$A$41</f>
            </strRef>
          </cat>
          <val>
            <numRef>
              <f>'収束グラフ'!$C$2:$C$41</f>
            </numRef>
          </val>
        </ser>
        <ser>
          <idx val="2"/>
          <order val="2"/>
          <tx>
            <strRef>
              <f>'収束グラフ'!D1</f>
            </strRef>
          </tx>
          <spPr>
            <a:ln w="20000">
              <a:solidFill>
                <a:srgbClr val="70AD47"/>
              </a:solidFill>
              <a:prstDash val="solid"/>
            </a:ln>
          </spPr>
          <marker>
            <symbol val="none"/>
            <spPr>
              <a:ln>
                <a:prstDash val="solid"/>
              </a:ln>
            </spPr>
          </marker>
          <cat>
            <strRef>
              <f>'収束グラフ'!$A$2:$A$41</f>
            </strRef>
          </cat>
          <val>
            <numRef>
              <f>'収束グラフ'!$D$2:$D$41</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ADR-SRS-011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7" t="inlineStr">
        <is>
          <t>ISSUE-064</t>
        </is>
      </c>
      <c r="B65" s="7" t="inlineStr">
        <is>
          <t>パイプライン: gsi_tile_latest_date を merged.geojson.metadata に格納</t>
        </is>
      </c>
      <c r="C65" s="7" t="inlineStr"/>
      <c r="D65" s="7" t="inlineStr">
        <is>
          <t>改善</t>
        </is>
      </c>
      <c r="E65" s="3" t="inlineStr">
        <is>
          <t>高</t>
        </is>
      </c>
      <c r="F65" s="7" t="inlineStr">
        <is>
          <t>merge.py</t>
        </is>
      </c>
      <c r="G65" s="7" t="inlineStr"/>
      <c r="H65" s="7" t="inlineStr">
        <is>
          <t>2026-05-31</t>
        </is>
      </c>
      <c r="I65" s="7" t="inlineStr"/>
      <c r="J65" s="7" t="inlineStr"/>
      <c r="K65" s="7" t="inlineStr">
        <is>
          <t>未対応</t>
        </is>
      </c>
      <c r="L65" s="7" t="inlineStr"/>
      <c r="M65" s="7" t="inlineStr">
        <is>
          <t>scripts/merge.py または scripts/prefetch_tiles.py でキャッシュタイルの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7" t="inlineStr">
        <is>
          <t>フォーマット規定: YYYY-MM-DD 形式（UTC）。ビューア表示時は末尾に (UTC) を付記すること。SRS FR-019 に明記済み（2026-05-31 更新）</t>
        </is>
      </c>
      <c r="O65" s="7" t="inlineStr"/>
      <c r="P65" s="7" t="inlineStr"/>
    </row>
    <row r="66" ht="40" customHeight="1">
      <c r="A66" s="6" t="inlineStr">
        <is>
          <t>ISSUE-065</t>
        </is>
      </c>
      <c r="B66" s="6" t="inlineStr">
        <is>
          <t>モックアップ「変更あり」フィルターを is_band_change_candidate ベースに統一</t>
        </is>
      </c>
      <c r="C66" s="6" t="inlineStr"/>
      <c r="D66" s="6" t="inlineStr">
        <is>
          <t>改善</t>
        </is>
      </c>
      <c r="E66" s="5" t="inlineStr">
        <is>
          <t>低</t>
        </is>
      </c>
      <c r="F66" s="6" t="inlineStr">
        <is>
          <t>その他</t>
        </is>
      </c>
      <c r="G66" s="6" t="inlineStr"/>
      <c r="H66" s="6" t="inlineStr">
        <is>
          <t>2026-05-31</t>
        </is>
      </c>
      <c r="I66" s="6" t="inlineStr"/>
      <c r="J66" s="6" t="inlineStr"/>
      <c r="K66" s="6" t="inlineStr">
        <is>
          <t>未対応</t>
        </is>
      </c>
      <c r="L66" s="6" t="inlineStr"/>
      <c r="M66" s="6" t="inlineStr">
        <is>
          <t>viewer_mockup.html の「変更あり」フィルター判定を localStorage 保存ありから is_band_change_candidate=true ベースに変更する。SRS 定義（FR-012 / FR-021）との整合を取る。</t>
        </is>
      </c>
      <c r="N66" s="6" t="inlineStr"/>
      <c r="O66" s="6" t="inlineStr"/>
      <c r="P66" s="6" t="inlineStr"/>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c r="J67" s="7" t="inlineStr"/>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HLD</t>
        </is>
      </c>
      <c r="J71" s="7" t="inlineStr"/>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HLD</t>
        </is>
      </c>
      <c r="J72" s="6" t="inlineStr"/>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HLD</t>
        </is>
      </c>
      <c r="J73" s="7" t="inlineStr"/>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HLD</t>
        </is>
      </c>
      <c r="J74" s="6" t="inlineStr"/>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c r="K76" s="6" t="inlineStr">
        <is>
          <t>未対応</t>
        </is>
      </c>
      <c r="L76" s="6" t="inlineStr"/>
      <c r="M76" s="6" t="inlineStr"/>
      <c r="N76" s="6" t="inlineStr"/>
      <c r="O76" s="6" t="inlineStr"/>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c r="K77" s="7" t="inlineStr">
        <is>
          <t>未対応</t>
        </is>
      </c>
      <c r="L77" s="7" t="inlineStr"/>
      <c r="M77" s="7" t="inlineStr"/>
      <c r="N77" s="7" t="inlineStr"/>
      <c r="O77" s="7" t="inlineStr"/>
      <c r="P77" s="7" t="inlineStr"/>
    </row>
    <row r="78" ht="40" customHeight="1">
      <c r="A78" s="2" t="inlineStr">
        <is>
          <t>ISSUE-077</t>
        </is>
      </c>
      <c r="B78" s="2" t="inlineStr">
        <is>
          <t>外部I/F・ユーザ入力・内部データの三分類規約とSRS再編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6" t="inlineStr">
        <is>
          <t>ISSUE-079</t>
        </is>
      </c>
      <c r="B80" s="6" t="inlineStr">
        <is>
          <t>scripts/preprocess_pref_boundaries.py を FR-017 改訂版仕様に追従</t>
        </is>
      </c>
      <c r="C80" s="6"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6" t="inlineStr">
        <is>
          <t>改善</t>
        </is>
      </c>
      <c r="E80" s="3" t="inlineStr">
        <is>
          <t>高</t>
        </is>
      </c>
      <c r="F80" s="6" t="inlineStr">
        <is>
          <t>その他</t>
        </is>
      </c>
      <c r="G80" s="6" t="inlineStr"/>
      <c r="H80" s="6" t="inlineStr">
        <is>
          <t>2026-06-05</t>
        </is>
      </c>
      <c r="I80" s="6" t="inlineStr">
        <is>
          <t>COD</t>
        </is>
      </c>
      <c r="J80" s="6" t="inlineStr"/>
      <c r="K80" s="6" t="inlineStr">
        <is>
          <t>未対応</t>
        </is>
      </c>
      <c r="L80" s="6" t="inlineStr"/>
      <c r="M80" s="6" t="inlineStr"/>
      <c r="N80" s="6" t="inlineStr">
        <is>
          <t>SRS 確定（コミット予定）後に着手する。実装側 ISSUE。</t>
        </is>
      </c>
      <c r="O80" s="6" t="inlineStr"/>
      <c r="P80" s="6" t="inlineStr"/>
    </row>
  </sheetData>
  <dataValidations count="5">
    <dataValidation sqref="K2:K80" showDropDown="0" showInputMessage="0" showErrorMessage="0" allowBlank="1" type="list">
      <formula1>"未対応,対応中,対応完了,解決済,却下"</formula1>
    </dataValidation>
    <dataValidation sqref="E2:E80" showDropDown="0" showInputMessage="0" showErrorMessage="0" allowBlank="1" type="list">
      <formula1>"高,中,低"</formula1>
    </dataValidation>
    <dataValidation sqref="D2:D80" showDropDown="0" showInputMessage="0" showErrorMessage="0" allowBlank="1" type="list">
      <formula1>"機能追加,改善,調査,設計"</formula1>
    </dataValidation>
    <dataValidation sqref="I2:I80" showDropDown="0" showInputMessage="0" showErrorMessage="0" allowBlank="1" type="list">
      <formula1>"URD,SRS,HLD,LLD,COD,UT,IT,ST,OPS"</formula1>
    </dataValidation>
    <dataValidation sqref="J2:J80"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79</v>
      </c>
    </row>
    <row r="3">
      <c r="A3" s="10" t="inlineStr">
        <is>
          <t>未解決件数</t>
        </is>
      </c>
      <c r="B3" s="11" t="n">
        <v>33</v>
      </c>
    </row>
    <row r="4">
      <c r="A4" s="10" t="inlineStr">
        <is>
          <t>解決済件数</t>
        </is>
      </c>
      <c r="B4" s="11" t="n">
        <v>40</v>
      </c>
    </row>
    <row r="5">
      <c r="A5" s="10" t="inlineStr">
        <is>
          <t>解決率</t>
        </is>
      </c>
      <c r="B5" s="11" t="inlineStr">
        <is>
          <t>50.6%</t>
        </is>
      </c>
    </row>
    <row r="7">
      <c r="A7" s="8" t="inlineStr">
        <is>
          <t>ステータス別</t>
        </is>
      </c>
      <c r="B7" s="9" t="n"/>
    </row>
    <row r="8">
      <c r="A8" s="10" t="inlineStr">
        <is>
          <t>未対応</t>
        </is>
      </c>
      <c r="B8" s="11" t="n">
        <v>33</v>
      </c>
    </row>
    <row r="9">
      <c r="A9" s="10" t="inlineStr">
        <is>
          <t>対応中</t>
        </is>
      </c>
      <c r="B9" s="11" t="n">
        <v>0</v>
      </c>
    </row>
    <row r="10">
      <c r="A10" s="10" t="inlineStr">
        <is>
          <t>対応完了</t>
        </is>
      </c>
      <c r="B10" s="11" t="n">
        <v>0</v>
      </c>
    </row>
    <row r="11">
      <c r="A11" s="10" t="inlineStr">
        <is>
          <t>解決済</t>
        </is>
      </c>
      <c r="B11" s="11" t="n">
        <v>40</v>
      </c>
    </row>
    <row r="12">
      <c r="A12" s="10" t="inlineStr">
        <is>
          <t>却下</t>
        </is>
      </c>
      <c r="B12" s="11" t="n">
        <v>6</v>
      </c>
    </row>
    <row r="14">
      <c r="A14" s="8" t="inlineStr">
        <is>
          <t>優先度別（未解決）</t>
        </is>
      </c>
      <c r="B14" s="9" t="n"/>
    </row>
    <row r="15">
      <c r="A15" s="10" t="inlineStr">
        <is>
          <t>高</t>
        </is>
      </c>
      <c r="B15" s="11" t="n">
        <v>15</v>
      </c>
    </row>
    <row r="16">
      <c r="A16" s="10" t="inlineStr">
        <is>
          <t>中</t>
        </is>
      </c>
      <c r="B16" s="11" t="n">
        <v>12</v>
      </c>
    </row>
    <row r="17">
      <c r="A17" s="10" t="inlineStr">
        <is>
          <t>低</t>
        </is>
      </c>
      <c r="B17" s="11" t="n">
        <v>6</v>
      </c>
    </row>
    <row r="19">
      <c r="A19" s="8" t="inlineStr">
        <is>
          <t>種別別（未解決）</t>
        </is>
      </c>
      <c r="B19" s="9" t="n"/>
    </row>
    <row r="20">
      <c r="A20" s="10" t="inlineStr">
        <is>
          <t>機能追加</t>
        </is>
      </c>
      <c r="B20" s="11" t="n">
        <v>9</v>
      </c>
    </row>
    <row r="21">
      <c r="A21" s="10" t="inlineStr">
        <is>
          <t>改善</t>
        </is>
      </c>
      <c r="B21" s="11" t="n">
        <v>22</v>
      </c>
    </row>
    <row r="22">
      <c r="A22" s="10" t="inlineStr">
        <is>
          <t>調査</t>
        </is>
      </c>
      <c r="B22" s="11" t="n">
        <v>1</v>
      </c>
    </row>
    <row r="24">
      <c r="A24" s="8" t="inlineStr">
        <is>
          <t>カテゴリ別（未解決）</t>
        </is>
      </c>
      <c r="B24" s="9" t="n"/>
    </row>
    <row r="25">
      <c r="A25" s="10" t="inlineStr">
        <is>
          <t>解析エンジン</t>
        </is>
      </c>
      <c r="B25" s="11" t="n">
        <v>4</v>
      </c>
    </row>
    <row r="26">
      <c r="A26" s="10" t="inlineStr">
        <is>
          <t>merge.py</t>
        </is>
      </c>
      <c r="B26" s="11" t="n">
        <v>5</v>
      </c>
    </row>
    <row r="27">
      <c r="A27" s="10" t="inlineStr">
        <is>
          <t>GeoJSON出力</t>
        </is>
      </c>
      <c r="B27" s="11" t="n">
        <v>3</v>
      </c>
    </row>
    <row r="28">
      <c r="A28" s="10" t="inlineStr">
        <is>
          <t>設定</t>
        </is>
      </c>
      <c r="B28" s="11" t="n">
        <v>1</v>
      </c>
    </row>
    <row r="29">
      <c r="A29" s="10" t="inlineStr">
        <is>
          <t>その他</t>
        </is>
      </c>
      <c r="B29" s="11" t="n">
        <v>8</v>
      </c>
    </row>
    <row r="31">
      <c r="A31" s="8" t="inlineStr">
        <is>
          <t>ステージ別（未解決）</t>
        </is>
      </c>
      <c r="B31" s="9" t="n"/>
    </row>
    <row r="32">
      <c r="A32" s="10" t="inlineStr">
        <is>
          <t>SRS</t>
        </is>
      </c>
      <c r="B32" s="11" t="n">
        <v>17</v>
      </c>
    </row>
    <row r="33">
      <c r="A33" s="10" t="inlineStr">
        <is>
          <t>HLD</t>
        </is>
      </c>
      <c r="B33" s="11" t="n">
        <v>5</v>
      </c>
    </row>
    <row r="34">
      <c r="A34" s="10" t="inlineStr">
        <is>
          <t>COD</t>
        </is>
      </c>
      <c r="B34" s="11" t="n">
        <v>6</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2026-06-05T10:27:20Z</dcterms:created>
  <dcterms:modified xsi:type="dcterms:W3CDTF">2026-06-05T10:27:20Z</dcterms:modified>
</cp:coreProperties>
</file>