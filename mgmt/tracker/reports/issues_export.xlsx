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'収束グラフ'!$A$2:$A$63</f>
            </strRef>
          </cat>
          <val>
            <numRef>
              <f>'収束グラフ'!$B$2:$B$63</f>
            </numRef>
          </val>
        </ser>
        <ser>
          <idx val="1"/>
          <order val="1"/>
          <tx>
            <strRef>
              <f>'収束グラフ'!C1</f>
            </strRef>
          </tx>
          <spPr>
            <a:ln w="20000">
              <a:solidFill>
                <a:srgbClr val="4472C4"/>
              </a:solidFill>
              <a:prstDash val="solid"/>
            </a:ln>
          </spPr>
          <marker>
            <symbol val="none"/>
            <spPr>
              <a:ln>
                <a:prstDash val="solid"/>
              </a:ln>
            </spPr>
          </marker>
          <cat>
            <strRef>
              <f>'収束グラフ'!$A$2:$A$63</f>
            </strRef>
          </cat>
          <val>
            <numRef>
              <f>'収束グラフ'!$C$2:$C$63</f>
            </numRef>
          </val>
        </ser>
        <ser>
          <idx val="2"/>
          <order val="2"/>
          <tx>
            <strRef>
              <f>'収束グラフ'!D1</f>
            </strRef>
          </tx>
          <spPr>
            <a:ln w="20000">
              <a:solidFill>
                <a:srgbClr val="70AD47"/>
              </a:solidFill>
              <a:prstDash val="solid"/>
            </a:ln>
          </spPr>
          <marker>
            <symbol val="none"/>
            <spPr>
              <a:ln>
                <a:prstDash val="solid"/>
              </a:ln>
            </spPr>
          </marker>
          <cat>
            <strRef>
              <f>'収束グラフ'!$A$2:$A$63</f>
            </strRef>
          </cat>
          <val>
            <numRef>
              <f>'収束グラフ'!$D$2:$D$63</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改善</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7" t="inlineStr">
        <is>
          <t>ISSUE-127</t>
        </is>
      </c>
      <c r="B127" s="7" t="inlineStr">
        <is>
          <t>FR-020 公開用HTMLに UR-011 帰属表示を反映</t>
        </is>
      </c>
      <c r="C127" s="7" t="inlineStr">
        <is>
          <t>公開用HTML(FR-020)は唯一の外部公開成果物だが対応URがUR-006のみで、6.13にattribution記載が無い。FR-019の帰属表示は作業用ビューア向けで別テンプレートの公開用に引き継がれる保証が無い。</t>
        </is>
      </c>
      <c r="D127" s="7" t="inlineStr">
        <is>
          <t>改善</t>
        </is>
      </c>
      <c r="E127" s="3" t="inlineStr">
        <is>
          <t>高</t>
        </is>
      </c>
      <c r="F127" s="7" t="inlineStr">
        <is>
          <t>その他</t>
        </is>
      </c>
      <c r="G127" s="7" t="inlineStr">
        <is>
          <t>Opus</t>
        </is>
      </c>
      <c r="H127" s="7" t="inlineStr">
        <is>
          <t>2026-06-25</t>
        </is>
      </c>
      <c r="I127" s="7" t="inlineStr">
        <is>
          <t>SRS</t>
        </is>
      </c>
      <c r="J127" s="7" t="inlineStr"/>
      <c r="K127" s="7" t="inlineStr">
        <is>
          <t>対応完了</t>
        </is>
      </c>
      <c r="L127" s="7" t="inlineStr"/>
      <c r="M127" s="7" t="inlineStr">
        <is>
          <t>FR-020対応URにUR-011追加。6.13にattribution行(© 国土地理院常時＋OSM/OpenTopoMap各表示＋『加工して作成』)明記。UR紐付けのADR要否を判断。</t>
        </is>
      </c>
      <c r="N127" s="7" t="inlineStr"/>
      <c r="O127" s="7" t="inlineStr">
        <is>
          <t>2026-06-25</t>
        </is>
      </c>
      <c r="P127" s="7" t="inlineStr"/>
    </row>
    <row r="128" ht="40" customHeight="1">
      <c r="A128" s="6" t="inlineStr">
        <is>
          <t>ISSUE-128</t>
        </is>
      </c>
      <c r="B128" s="6" t="inlineStr">
        <is>
          <t>公開用HTMLの提供機能・公開情報範囲の定義</t>
        </is>
      </c>
      <c r="C128" s="6"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6" t="inlineStr">
        <is>
          <t>設計</t>
        </is>
      </c>
      <c r="E128" s="3" t="inlineStr">
        <is>
          <t>高</t>
        </is>
      </c>
      <c r="F128" s="6" t="inlineStr">
        <is>
          <t>その他</t>
        </is>
      </c>
      <c r="G128" s="6" t="inlineStr">
        <is>
          <t>Opus</t>
        </is>
      </c>
      <c r="H128" s="6" t="inlineStr">
        <is>
          <t>2026-06-25</t>
        </is>
      </c>
      <c r="I128" s="6" t="inlineStr">
        <is>
          <t>SRS</t>
        </is>
      </c>
      <c r="J128" s="6" t="inlineStr"/>
      <c r="K128" s="6" t="inlineStr">
        <is>
          <t>対応完了</t>
        </is>
      </c>
      <c r="L128" s="6" t="inlineStr"/>
      <c r="M128" s="6" t="inlineStr">
        <is>
          <t>公開用に含める閲覧機能の包含規則をFR-020/6.13に明記。内部値露出ポリシー・metadata基準日表示の要否を順に確定(露出判断はADR候補)。</t>
        </is>
      </c>
      <c r="N128" s="6" t="inlineStr"/>
      <c r="O128" s="6" t="inlineStr">
        <is>
          <t>2026-06-25</t>
        </is>
      </c>
      <c r="P128" s="6" t="inlineStr"/>
    </row>
    <row r="129" ht="40" customHeight="1">
      <c r="A129" s="7" t="inlineStr">
        <is>
          <t>ISSUE-129</t>
        </is>
      </c>
      <c r="B129" s="7" t="inlineStr">
        <is>
          <t>公開用エクスポート時の localStorage マージ仕様の明確化</t>
        </is>
      </c>
      <c r="C129" s="7" t="inlineStr">
        <is>
          <t>FR-020はlocalStorageをマージするとあるが、generated_at不一致(前回実行分)時にどの状態(現在のビューア表示状態 vs localStorage生データ)をマージするか未定義。</t>
        </is>
      </c>
      <c r="D129" s="7" t="inlineStr">
        <is>
          <t>改善</t>
        </is>
      </c>
      <c r="E129" s="4" t="inlineStr">
        <is>
          <t>中</t>
        </is>
      </c>
      <c r="F129" s="7" t="inlineStr">
        <is>
          <t>その他</t>
        </is>
      </c>
      <c r="G129" s="7" t="inlineStr">
        <is>
          <t>Opus</t>
        </is>
      </c>
      <c r="H129" s="7" t="inlineStr">
        <is>
          <t>2026-06-25</t>
        </is>
      </c>
      <c r="I129" s="7" t="inlineStr">
        <is>
          <t>SRS</t>
        </is>
      </c>
      <c r="J129" s="7" t="inlineStr"/>
      <c r="K129" s="7" t="inlineStr">
        <is>
          <t>対応完了</t>
        </is>
      </c>
      <c r="L129" s="7" t="inlineStr"/>
      <c r="M129" s="7" t="inlineStr">
        <is>
          <t>マージ元を『現在のビューア表示状態のスナップショット』と明記する。</t>
        </is>
      </c>
      <c r="N129" s="7" t="inlineStr"/>
      <c r="O129" s="7" t="inlineStr">
        <is>
          <t>2026-06-25</t>
        </is>
      </c>
      <c r="P129" s="7" t="inlineStr"/>
    </row>
    <row r="130" ht="40" customHeight="1">
      <c r="A130" s="6" t="inlineStr">
        <is>
          <t>ISSUE-130</t>
        </is>
      </c>
      <c r="B130" s="6" t="inlineStr">
        <is>
          <t>公開用 別テンプレート採用の設計判断記録(ADR要否)</t>
        </is>
      </c>
      <c r="C130" s="6" t="inlineStr">
        <is>
          <t>作業用テンプレートを条件分岐させず別ファイルにする設計判断の根拠が未記録。HLDで扱うかADR-SRS化するか未定。</t>
        </is>
      </c>
      <c r="D130" s="6" t="inlineStr">
        <is>
          <t>設計</t>
        </is>
      </c>
      <c r="E130" s="5" t="inlineStr">
        <is>
          <t>低</t>
        </is>
      </c>
      <c r="F130" s="6" t="inlineStr">
        <is>
          <t>その他</t>
        </is>
      </c>
      <c r="G130" s="6" t="inlineStr">
        <is>
          <t>Opus</t>
        </is>
      </c>
      <c r="H130" s="6" t="inlineStr">
        <is>
          <t>2026-06-25</t>
        </is>
      </c>
      <c r="I130" s="6" t="inlineStr">
        <is>
          <t>SRS</t>
        </is>
      </c>
      <c r="J130" s="6" t="inlineStr"/>
      <c r="K130" s="6" t="inlineStr">
        <is>
          <t>対応完了</t>
        </is>
      </c>
      <c r="L130" s="6" t="inlineStr"/>
      <c r="M130" s="6" t="inlineStr">
        <is>
          <t>HLD所掌か ADR-SRS 化かを判断し、ADR化なら作成。</t>
        </is>
      </c>
      <c r="N130" s="6" t="inlineStr"/>
      <c r="O130" s="6" t="inlineStr">
        <is>
          <t>2026-06-25</t>
        </is>
      </c>
      <c r="P130" s="6" t="inlineStr"/>
    </row>
    <row r="131" ht="40" customHeight="1">
      <c r="A131" s="7" t="inlineStr">
        <is>
          <t>ISSUE-131</t>
        </is>
      </c>
      <c r="B131" s="7" t="inlineStr">
        <is>
          <t>FR-019: カテゴリ別フィルタ4分類(new/dominant/changed/unchanged)とデータプロパティの対応未定義</t>
        </is>
      </c>
      <c r="C131" s="7"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7" t="inlineStr">
        <is>
          <t>設計</t>
        </is>
      </c>
      <c r="E131" s="3" t="inlineStr">
        <is>
          <t>高</t>
        </is>
      </c>
      <c r="F131" s="7" t="inlineStr">
        <is>
          <t>その他</t>
        </is>
      </c>
      <c r="G131" s="7" t="inlineStr">
        <is>
          <t>Opus</t>
        </is>
      </c>
      <c r="H131" s="7" t="inlineStr">
        <is>
          <t>2026-06-26</t>
        </is>
      </c>
      <c r="I131" s="7" t="inlineStr">
        <is>
          <t>SRS</t>
        </is>
      </c>
      <c r="J131" s="7" t="inlineStr"/>
      <c r="K131" s="7" t="inlineStr">
        <is>
          <t>対応完了</t>
        </is>
      </c>
      <c r="L131" s="7" t="inlineStr"/>
      <c r="M131" s="7" t="inlineStr">
        <is>
          <t>FR-009のデータモデルを確認し、4カテゴリ↔プロパティの対応表をFR-019本文に定義。設計判断を含むためADR-SRS候補。</t>
        </is>
      </c>
      <c r="N131" s="7" t="inlineStr"/>
      <c r="O131" s="7" t="inlineStr">
        <is>
          <t>2026-06-26</t>
        </is>
      </c>
      <c r="P131" s="7" t="inlineStr"/>
    </row>
    <row r="132" ht="40" customHeight="1">
      <c r="A132" s="6" t="inlineStr">
        <is>
          <t>ISSUE-132</t>
        </is>
      </c>
      <c r="B132" s="6" t="inlineStr">
        <is>
          <t>FR-019: 出力欄(1109)にFR-012があるがエクスポート経路が本文に無い</t>
        </is>
      </c>
      <c r="C132" s="6"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6" t="inlineStr">
        <is>
          <t>改善</t>
        </is>
      </c>
      <c r="E132" s="3" t="inlineStr">
        <is>
          <t>高</t>
        </is>
      </c>
      <c r="F132" s="6" t="inlineStr">
        <is>
          <t>その他</t>
        </is>
      </c>
      <c r="G132" s="6" t="inlineStr">
        <is>
          <t>Opus</t>
        </is>
      </c>
      <c r="H132" s="6" t="inlineStr">
        <is>
          <t>2026-06-26</t>
        </is>
      </c>
      <c r="I132" s="6" t="inlineStr">
        <is>
          <t>SRS</t>
        </is>
      </c>
      <c r="J132" s="6" t="inlineStr"/>
      <c r="K132" s="6" t="inlineStr">
        <is>
          <t>対応完了</t>
        </is>
      </c>
      <c r="L132" s="6" t="inlineStr"/>
      <c r="M132" s="6" t="inlineStr">
        <is>
          <t>FR-012の生成トリガを確定(推定: FR-021エビデンスZIP同梱)し、出力欄・エクスポート記述・FR-021/FR-012本文の整合を取る。</t>
        </is>
      </c>
      <c r="N132" s="6" t="inlineStr"/>
      <c r="O132" s="6" t="inlineStr">
        <is>
          <t>2026-06-26</t>
        </is>
      </c>
      <c r="P132" s="6" t="inlineStr"/>
    </row>
    <row r="133" ht="40" customHeight="1">
      <c r="A133" s="7" t="inlineStr">
        <is>
          <t>ISSUE-133</t>
        </is>
      </c>
      <c r="B133" s="7" t="inlineStr">
        <is>
          <t>FR-019: 検索の自動フィルタON対象にdeleteサミット・key_colのカテゴリ帰属が未定義</t>
        </is>
      </c>
      <c r="C133" s="7"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7" t="inlineStr">
        <is>
          <t>改善</t>
        </is>
      </c>
      <c r="E133" s="4" t="inlineStr">
        <is>
          <t>中</t>
        </is>
      </c>
      <c r="F133" s="7" t="inlineStr">
        <is>
          <t>その他</t>
        </is>
      </c>
      <c r="G133" s="7" t="inlineStr">
        <is>
          <t>Opus</t>
        </is>
      </c>
      <c r="H133" s="7" t="inlineStr">
        <is>
          <t>2026-06-26</t>
        </is>
      </c>
      <c r="I133" s="7" t="inlineStr">
        <is>
          <t>SRS</t>
        </is>
      </c>
      <c r="J133" s="7" t="inlineStr"/>
      <c r="K133" s="7" t="inlineStr">
        <is>
          <t>対応完了</t>
        </is>
      </c>
      <c r="L133" s="7" t="inlineStr"/>
      <c r="M133" s="7" t="inlineStr">
        <is>
          <t>delete サミット・key_col を4カテゴリにどう割り当てるか(ISSUE-131と連動)を定義。</t>
        </is>
      </c>
      <c r="N133" s="7" t="inlineStr"/>
      <c r="O133" s="7" t="inlineStr">
        <is>
          <t>2026-06-26</t>
        </is>
      </c>
      <c r="P133" s="7" t="inlineStr"/>
    </row>
    <row r="134" ht="40" customHeight="1">
      <c r="A134" s="6" t="inlineStr">
        <is>
          <t>ISSUE-134</t>
        </is>
      </c>
      <c r="B134" s="6" t="inlineStr">
        <is>
          <t>FR-019: newピーク山岳名入力の必須/任意・未入力時の申請書挙動が未定義</t>
        </is>
      </c>
      <c r="C134" s="6"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6" t="inlineStr">
        <is>
          <t>設計</t>
        </is>
      </c>
      <c r="E134" s="4" t="inlineStr">
        <is>
          <t>中</t>
        </is>
      </c>
      <c r="F134" s="6" t="inlineStr">
        <is>
          <t>その他</t>
        </is>
      </c>
      <c r="G134" s="6" t="inlineStr">
        <is>
          <t>Opus</t>
        </is>
      </c>
      <c r="H134" s="6" t="inlineStr">
        <is>
          <t>2026-06-26</t>
        </is>
      </c>
      <c r="I134" s="6" t="inlineStr">
        <is>
          <t>SRS</t>
        </is>
      </c>
      <c r="J134" s="6" t="inlineStr"/>
      <c r="K134" s="6" t="inlineStr">
        <is>
          <t>対応完了</t>
        </is>
      </c>
      <c r="L134" s="6" t="inlineStr"/>
      <c r="M134" s="6" t="inlineStr">
        <is>
          <t>newピーク山岳名の必須/任意と未入力時のFR-011挙動を確定。ADR-SRS候補。</t>
        </is>
      </c>
      <c r="N134" s="6" t="inlineStr"/>
      <c r="O134" s="6" t="inlineStr">
        <is>
          <t>2026-06-26</t>
        </is>
      </c>
      <c r="P134" s="6" t="inlineStr"/>
    </row>
    <row r="135" ht="40" customHeight="1">
      <c r="A135" s="7" t="inlineStr">
        <is>
          <t>ISSUE-135</t>
        </is>
      </c>
      <c r="B135" s="7" t="inlineStr">
        <is>
          <t>地形変化で消滅したサミット（unmatched）の要確認扱い・FR-009 即停止の見直し</t>
        </is>
      </c>
      <c r="C135" s="7"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7" t="inlineStr">
        <is>
          <t>設計</t>
        </is>
      </c>
      <c r="E135" s="3" t="inlineStr">
        <is>
          <t>高</t>
        </is>
      </c>
      <c r="F135" s="7" t="inlineStr">
        <is>
          <t>merge.py</t>
        </is>
      </c>
      <c r="G135" s="7" t="inlineStr">
        <is>
          <t>Opus</t>
        </is>
      </c>
      <c r="H135" s="7" t="inlineStr">
        <is>
          <t>2026-06-27</t>
        </is>
      </c>
      <c r="I135" s="7" t="inlineStr">
        <is>
          <t>SRS</t>
        </is>
      </c>
      <c r="J135" s="7" t="inlineStr"/>
      <c r="K135" s="7" t="inlineStr">
        <is>
          <t>対応完了</t>
        </is>
      </c>
      <c r="L135" s="7" t="inlineStr"/>
      <c r="M135" s="7"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7" t="inlineStr">
        <is>
          <t>ユーザー確認済み: 要確認続行＋件数しきい値停止。成果物はSRS/ADR文書のみ（ADR-SRS-011 が採用・未実装のためコード変更なし）。</t>
        </is>
      </c>
      <c r="O135" s="7" t="inlineStr">
        <is>
          <t>2026-06-27</t>
        </is>
      </c>
      <c r="P135" s="7" t="inlineStr"/>
    </row>
  </sheetData>
  <dataValidations count="5">
    <dataValidation sqref="K2:K135" showDropDown="0" showInputMessage="0" showErrorMessage="0" allowBlank="1" type="list">
      <formula1>"未対応,対応中,対応完了,解決済,却下"</formula1>
    </dataValidation>
    <dataValidation sqref="E2:E135" showDropDown="0" showInputMessage="0" showErrorMessage="0" allowBlank="1" type="list">
      <formula1>"高,中,低"</formula1>
    </dataValidation>
    <dataValidation sqref="D2:D135" showDropDown="0" showInputMessage="0" showErrorMessage="0" allowBlank="1" type="list">
      <formula1>"改善,調査,設計"</formula1>
    </dataValidation>
    <dataValidation sqref="I2:I135" showDropDown="0" showInputMessage="0" showErrorMessage="0" allowBlank="1" type="list">
      <formula1>"URD,SRS,HLD,LLD,COD,UT,IT,ST,OPS"</formula1>
    </dataValidation>
    <dataValidation sqref="J2:J135"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134</v>
      </c>
    </row>
    <row r="3">
      <c r="A3" s="10" t="inlineStr">
        <is>
          <t>未解決件数</t>
        </is>
      </c>
      <c r="B3" s="11" t="n">
        <v>30</v>
      </c>
    </row>
    <row r="4">
      <c r="A4" s="10" t="inlineStr">
        <is>
          <t>解決済件数</t>
        </is>
      </c>
      <c r="B4" s="11" t="n">
        <v>87</v>
      </c>
    </row>
    <row r="5">
      <c r="A5" s="10" t="inlineStr">
        <is>
          <t>解決率</t>
        </is>
      </c>
      <c r="B5" s="11" t="inlineStr">
        <is>
          <t>64.9%</t>
        </is>
      </c>
    </row>
    <row r="7">
      <c r="A7" s="8" t="inlineStr">
        <is>
          <t>ステータス別</t>
        </is>
      </c>
      <c r="B7" s="9" t="n"/>
    </row>
    <row r="8">
      <c r="A8" s="10" t="inlineStr">
        <is>
          <t>未対応</t>
        </is>
      </c>
      <c r="B8" s="11" t="n">
        <v>21</v>
      </c>
    </row>
    <row r="9">
      <c r="A9" s="10" t="inlineStr">
        <is>
          <t>対応中</t>
        </is>
      </c>
      <c r="B9" s="11" t="n">
        <v>0</v>
      </c>
    </row>
    <row r="10">
      <c r="A10" s="10" t="inlineStr">
        <is>
          <t>対応完了</t>
        </is>
      </c>
      <c r="B10" s="11" t="n">
        <v>9</v>
      </c>
    </row>
    <row r="11">
      <c r="A11" s="10" t="inlineStr">
        <is>
          <t>解決済</t>
        </is>
      </c>
      <c r="B11" s="11" t="n">
        <v>87</v>
      </c>
    </row>
    <row r="12">
      <c r="A12" s="10" t="inlineStr">
        <is>
          <t>却下</t>
        </is>
      </c>
      <c r="B12" s="11" t="n">
        <v>17</v>
      </c>
    </row>
    <row r="14">
      <c r="A14" s="8" t="inlineStr">
        <is>
          <t>優先度別（未解決）</t>
        </is>
      </c>
      <c r="B14" s="9" t="n"/>
    </row>
    <row r="15">
      <c r="A15" s="10" t="inlineStr">
        <is>
          <t>高</t>
        </is>
      </c>
      <c r="B15" s="11" t="n">
        <v>14</v>
      </c>
    </row>
    <row r="16">
      <c r="A16" s="10" t="inlineStr">
        <is>
          <t>中</t>
        </is>
      </c>
      <c r="B16" s="11" t="n">
        <v>12</v>
      </c>
    </row>
    <row r="17">
      <c r="A17" s="10" t="inlineStr">
        <is>
          <t>低</t>
        </is>
      </c>
      <c r="B17" s="11" t="n">
        <v>4</v>
      </c>
    </row>
    <row r="19">
      <c r="A19" s="8" t="inlineStr">
        <is>
          <t>種別別（未解決）</t>
        </is>
      </c>
      <c r="B19" s="9" t="n"/>
    </row>
    <row r="20">
      <c r="A20" s="10" t="inlineStr">
        <is>
          <t>改善</t>
        </is>
      </c>
      <c r="B20" s="11" t="n">
        <v>17</v>
      </c>
    </row>
    <row r="21">
      <c r="A21" s="10" t="inlineStr">
        <is>
          <t>調査</t>
        </is>
      </c>
      <c r="B21" s="11" t="n">
        <v>2</v>
      </c>
    </row>
    <row r="22">
      <c r="A22" s="10" t="inlineStr">
        <is>
          <t>設計</t>
        </is>
      </c>
      <c r="B22" s="11" t="n">
        <v>11</v>
      </c>
    </row>
    <row r="24">
      <c r="A24" s="8" t="inlineStr">
        <is>
          <t>カテゴリ別（未解決）</t>
        </is>
      </c>
      <c r="B24" s="9" t="n"/>
    </row>
    <row r="25">
      <c r="A25" s="10" t="inlineStr">
        <is>
          <t>解析エンジン</t>
        </is>
      </c>
      <c r="B25" s="11" t="n">
        <v>4</v>
      </c>
    </row>
    <row r="26">
      <c r="A26" s="10" t="inlineStr">
        <is>
          <t>merge.py</t>
        </is>
      </c>
      <c r="B26" s="11" t="n">
        <v>3</v>
      </c>
    </row>
    <row r="27">
      <c r="A27" s="10" t="inlineStr">
        <is>
          <t>GeoJSON出力</t>
        </is>
      </c>
      <c r="B27" s="11" t="n">
        <v>2</v>
      </c>
    </row>
    <row r="28">
      <c r="A28" s="10" t="inlineStr">
        <is>
          <t>その他</t>
        </is>
      </c>
      <c r="B28" s="11" t="n">
        <v>11</v>
      </c>
    </row>
    <row r="30">
      <c r="A30" s="8" t="inlineStr">
        <is>
          <t>ステージ別（未解決）</t>
        </is>
      </c>
      <c r="B30" s="9" t="n"/>
    </row>
    <row r="31">
      <c r="A31" s="10" t="inlineStr">
        <is>
          <t>SRS</t>
        </is>
      </c>
      <c r="B31" s="11" t="n">
        <v>26</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35</v>
      </c>
    </row>
    <row r="29">
      <c r="A29" t="inlineStr">
        <is>
          <t>2026-05-24</t>
        </is>
      </c>
      <c r="B29" t="n">
        <v>55</v>
      </c>
      <c r="C29" t="n">
        <v>35</v>
      </c>
      <c r="D29" t="n">
        <v>37</v>
      </c>
    </row>
    <row r="30">
      <c r="A30" t="inlineStr">
        <is>
          <t>2026-05-25</t>
        </is>
      </c>
      <c r="B30" t="n">
        <v>56</v>
      </c>
      <c r="C30" t="n">
        <v>35</v>
      </c>
      <c r="D30" t="n">
        <v>37</v>
      </c>
    </row>
    <row r="31">
      <c r="A31" t="inlineStr">
        <is>
          <t>2026-05-26</t>
        </is>
      </c>
      <c r="B31" t="n">
        <v>56</v>
      </c>
      <c r="C31" t="n">
        <v>35</v>
      </c>
      <c r="D31" t="n">
        <v>37</v>
      </c>
    </row>
    <row r="32">
      <c r="A32" t="inlineStr">
        <is>
          <t>2026-05-27</t>
        </is>
      </c>
      <c r="B32" t="n">
        <v>56</v>
      </c>
      <c r="C32" t="n">
        <v>35</v>
      </c>
      <c r="D32" t="n">
        <v>37</v>
      </c>
    </row>
    <row r="33">
      <c r="A33" t="inlineStr">
        <is>
          <t>2026-05-28</t>
        </is>
      </c>
      <c r="B33" t="n">
        <v>56</v>
      </c>
      <c r="C33" t="n">
        <v>36</v>
      </c>
      <c r="D33" t="n">
        <v>38</v>
      </c>
    </row>
    <row r="34">
      <c r="A34" t="inlineStr">
        <is>
          <t>2026-05-29</t>
        </is>
      </c>
      <c r="B34" t="n">
        <v>62</v>
      </c>
      <c r="C34" t="n">
        <v>39</v>
      </c>
      <c r="D34" t="n">
        <v>41</v>
      </c>
    </row>
    <row r="35">
      <c r="A35" t="inlineStr">
        <is>
          <t>2026-05-30</t>
        </is>
      </c>
      <c r="B35" t="n">
        <v>62</v>
      </c>
      <c r="C35" t="n">
        <v>39</v>
      </c>
      <c r="D35" t="n">
        <v>41</v>
      </c>
    </row>
    <row r="36">
      <c r="A36" t="inlineStr">
        <is>
          <t>2026-05-31</t>
        </is>
      </c>
      <c r="B36" t="n">
        <v>68</v>
      </c>
      <c r="C36" t="n">
        <v>41</v>
      </c>
      <c r="D36" t="n">
        <v>43</v>
      </c>
    </row>
    <row r="37">
      <c r="A37" t="inlineStr">
        <is>
          <t>2026-06-01</t>
        </is>
      </c>
      <c r="B37" t="n">
        <v>69</v>
      </c>
      <c r="C37" t="n">
        <v>42</v>
      </c>
      <c r="D37" t="n">
        <v>44</v>
      </c>
    </row>
    <row r="38">
      <c r="A38" t="inlineStr">
        <is>
          <t>2026-06-02</t>
        </is>
      </c>
      <c r="B38" t="n">
        <v>73</v>
      </c>
      <c r="C38" t="n">
        <v>42</v>
      </c>
      <c r="D38" t="n">
        <v>44</v>
      </c>
    </row>
    <row r="39">
      <c r="A39" t="inlineStr">
        <is>
          <t>2026-06-03</t>
        </is>
      </c>
      <c r="B39" t="n">
        <v>73</v>
      </c>
      <c r="C39" t="n">
        <v>42</v>
      </c>
      <c r="D39" t="n">
        <v>44</v>
      </c>
    </row>
    <row r="40">
      <c r="A40" t="inlineStr">
        <is>
          <t>2026-06-04</t>
        </is>
      </c>
      <c r="B40" t="n">
        <v>76</v>
      </c>
      <c r="C40" t="n">
        <v>42</v>
      </c>
      <c r="D40" t="n">
        <v>44</v>
      </c>
    </row>
    <row r="41">
      <c r="A41" t="inlineStr">
        <is>
          <t>2026-06-05</t>
        </is>
      </c>
      <c r="B41" t="n">
        <v>79</v>
      </c>
      <c r="C41" t="n">
        <v>43</v>
      </c>
      <c r="D41" t="n">
        <v>46</v>
      </c>
    </row>
    <row r="42">
      <c r="A42" t="inlineStr">
        <is>
          <t>2026-06-06</t>
        </is>
      </c>
      <c r="B42" t="n">
        <v>80</v>
      </c>
      <c r="C42" t="n">
        <v>44</v>
      </c>
      <c r="D42" t="n">
        <v>47</v>
      </c>
    </row>
    <row r="43">
      <c r="A43" t="inlineStr">
        <is>
          <t>2026-06-07</t>
        </is>
      </c>
      <c r="B43" t="n">
        <v>81</v>
      </c>
      <c r="C43" t="n">
        <v>45</v>
      </c>
      <c r="D43" t="n">
        <v>59</v>
      </c>
    </row>
    <row r="44">
      <c r="A44" t="inlineStr">
        <is>
          <t>2026-06-08</t>
        </is>
      </c>
      <c r="B44" t="n">
        <v>86</v>
      </c>
      <c r="C44" t="n">
        <v>45</v>
      </c>
      <c r="D44" t="n">
        <v>59</v>
      </c>
    </row>
    <row r="45">
      <c r="A45" t="inlineStr">
        <is>
          <t>2026-06-09</t>
        </is>
      </c>
      <c r="B45" t="n">
        <v>87</v>
      </c>
      <c r="C45" t="n">
        <v>46</v>
      </c>
      <c r="D45" t="n">
        <v>59</v>
      </c>
    </row>
    <row r="46">
      <c r="A46" t="inlineStr">
        <is>
          <t>2026-06-10</t>
        </is>
      </c>
      <c r="B46" t="n">
        <v>87</v>
      </c>
      <c r="C46" t="n">
        <v>46</v>
      </c>
      <c r="D46" t="n">
        <v>59</v>
      </c>
    </row>
    <row r="47">
      <c r="A47" t="inlineStr">
        <is>
          <t>2026-06-11</t>
        </is>
      </c>
      <c r="B47" t="n">
        <v>88</v>
      </c>
      <c r="C47" t="n">
        <v>47</v>
      </c>
      <c r="D47" t="n">
        <v>59</v>
      </c>
    </row>
    <row r="48">
      <c r="A48" t="inlineStr">
        <is>
          <t>2026-06-12</t>
        </is>
      </c>
      <c r="B48" t="n">
        <v>91</v>
      </c>
      <c r="C48" t="n">
        <v>54</v>
      </c>
      <c r="D48" t="n">
        <v>59</v>
      </c>
    </row>
    <row r="49">
      <c r="A49" t="inlineStr">
        <is>
          <t>2026-06-13</t>
        </is>
      </c>
      <c r="B49" t="n">
        <v>91</v>
      </c>
      <c r="C49" t="n">
        <v>55</v>
      </c>
      <c r="D49" t="n">
        <v>68</v>
      </c>
    </row>
    <row r="50">
      <c r="A50" t="inlineStr">
        <is>
          <t>2026-06-14</t>
        </is>
      </c>
      <c r="B50" t="n">
        <v>96</v>
      </c>
      <c r="C50" t="n">
        <v>60</v>
      </c>
      <c r="D50" t="n">
        <v>71</v>
      </c>
    </row>
    <row r="51">
      <c r="A51" t="inlineStr">
        <is>
          <t>2026-06-15</t>
        </is>
      </c>
      <c r="B51" t="n">
        <v>101</v>
      </c>
      <c r="C51" t="n">
        <v>65</v>
      </c>
      <c r="D51" t="n">
        <v>76</v>
      </c>
    </row>
    <row r="52">
      <c r="A52" t="inlineStr">
        <is>
          <t>2026-06-16</t>
        </is>
      </c>
      <c r="B52" t="n">
        <v>105</v>
      </c>
      <c r="C52" t="n">
        <v>68</v>
      </c>
      <c r="D52" t="n">
        <v>76</v>
      </c>
    </row>
    <row r="53">
      <c r="A53" t="inlineStr">
        <is>
          <t>2026-06-17</t>
        </is>
      </c>
      <c r="B53" t="n">
        <v>106</v>
      </c>
      <c r="C53" t="n">
        <v>69</v>
      </c>
      <c r="D53" t="n">
        <v>76</v>
      </c>
    </row>
    <row r="54">
      <c r="A54" t="inlineStr">
        <is>
          <t>2026-06-18</t>
        </is>
      </c>
      <c r="B54" t="n">
        <v>114</v>
      </c>
      <c r="C54" t="n">
        <v>73</v>
      </c>
      <c r="D54" t="n">
        <v>84</v>
      </c>
    </row>
    <row r="55">
      <c r="A55" t="inlineStr">
        <is>
          <t>2026-06-19</t>
        </is>
      </c>
      <c r="B55" t="n">
        <v>118</v>
      </c>
      <c r="C55" t="n">
        <v>76</v>
      </c>
      <c r="D55" t="n">
        <v>84</v>
      </c>
    </row>
    <row r="56">
      <c r="A56" t="inlineStr">
        <is>
          <t>2026-06-20</t>
        </is>
      </c>
      <c r="B56" t="n">
        <v>118</v>
      </c>
      <c r="C56" t="n">
        <v>76</v>
      </c>
      <c r="D56" t="n">
        <v>84</v>
      </c>
    </row>
    <row r="57">
      <c r="A57" t="inlineStr">
        <is>
          <t>2026-06-21</t>
        </is>
      </c>
      <c r="B57" t="n">
        <v>125</v>
      </c>
      <c r="C57" t="n">
        <v>79</v>
      </c>
      <c r="D57" t="n">
        <v>84</v>
      </c>
    </row>
    <row r="58">
      <c r="A58" t="inlineStr">
        <is>
          <t>2026-06-22</t>
        </is>
      </c>
      <c r="B58" t="n">
        <v>125</v>
      </c>
      <c r="C58" t="n">
        <v>85</v>
      </c>
      <c r="D58" t="n">
        <v>84</v>
      </c>
    </row>
    <row r="59">
      <c r="A59" t="inlineStr">
        <is>
          <t>2026-06-23</t>
        </is>
      </c>
      <c r="B59" t="n">
        <v>125</v>
      </c>
      <c r="C59" t="n">
        <v>85</v>
      </c>
      <c r="D59" t="n">
        <v>104</v>
      </c>
    </row>
    <row r="60">
      <c r="A60" t="inlineStr">
        <is>
          <t>2026-06-24</t>
        </is>
      </c>
      <c r="B60" t="n">
        <v>125</v>
      </c>
      <c r="C60" t="n">
        <v>85</v>
      </c>
      <c r="D60" t="n">
        <v>104</v>
      </c>
    </row>
    <row r="61">
      <c r="A61" t="inlineStr">
        <is>
          <t>2026-06-25</t>
        </is>
      </c>
      <c r="B61" t="n">
        <v>129</v>
      </c>
      <c r="C61" t="n">
        <v>89</v>
      </c>
      <c r="D61" t="n">
        <v>104</v>
      </c>
    </row>
    <row r="62">
      <c r="A62" t="inlineStr">
        <is>
          <t>2026-06-26</t>
        </is>
      </c>
      <c r="B62" t="n">
        <v>133</v>
      </c>
      <c r="C62" t="n">
        <v>93</v>
      </c>
      <c r="D62" t="n">
        <v>104</v>
      </c>
    </row>
    <row r="63">
      <c r="A63" t="inlineStr">
        <is>
          <t>2026-06-27</t>
        </is>
      </c>
      <c r="B63" t="n">
        <v>134</v>
      </c>
      <c r="C63" t="n">
        <v>94</v>
      </c>
      <c r="D63" t="n">
        <v>104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2026-06-27T03:01:02Z</dcterms:created>
  <dcterms:modified xsi:type="dcterms:W3CDTF">2026-06-27T03:01:03Z</dcterms:modified>
</cp:coreProperties>
</file>