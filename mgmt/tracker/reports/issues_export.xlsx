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'収束グラフ'!$A$2:$A$24</f>
            </strRef>
          </cat>
          <val>
            <numRef>
              <f>'収束グラフ'!$B$2:$B$24</f>
            </numRef>
          </val>
        </ser>
        <ser>
          <idx val="1"/>
          <order val="1"/>
          <tx>
            <strRef>
              <f>'収束グラフ'!C1</f>
            </strRef>
          </tx>
          <spPr>
            <a:ln w="20000">
              <a:solidFill>
                <a:srgbClr val="4472C4"/>
              </a:solidFill>
              <a:prstDash val="solid"/>
            </a:ln>
          </spPr>
          <marker>
            <symbol val="none"/>
            <spPr>
              <a:ln>
                <a:prstDash val="solid"/>
              </a:ln>
            </spPr>
          </marker>
          <cat>
            <strRef>
              <f>'収束グラフ'!$A$2:$A$24</f>
            </strRef>
          </cat>
          <val>
            <numRef>
              <f>'収束グラフ'!$C$2:$C$24</f>
            </numRef>
          </val>
        </ser>
        <ser>
          <idx val="2"/>
          <order val="2"/>
          <tx>
            <strRef>
              <f>'収束グラフ'!D1</f>
            </strRef>
          </tx>
          <spPr>
            <a:ln w="20000">
              <a:solidFill>
                <a:srgbClr val="70AD47"/>
              </a:solidFill>
              <a:prstDash val="solid"/>
            </a:ln>
          </spPr>
          <marker>
            <symbol val="none"/>
            <spPr>
              <a:ln>
                <a:prstDash val="solid"/>
              </a:ln>
            </spPr>
          </marker>
          <cat>
            <strRef>
              <f>'収束グラフ'!$A$2:$A$24</f>
            </strRef>
          </cat>
          <val>
            <numRef>
              <f>'収束グラフ'!$D$2:$D$24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対応中</t>
        </is>
      </c>
      <c r="K15" s="7" t="inlineStr"/>
      <c r="L15" s="7"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7"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に改名。実装コード追従 ISSUE は今後起票予定。</t>
        </is>
      </c>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26</v>
      </c>
    </row>
    <row r="4">
      <c r="A4" s="10" t="inlineStr">
        <is>
          <t>解決済件数</t>
        </is>
      </c>
      <c r="B4" s="11" t="n">
        <v>10</v>
      </c>
    </row>
    <row r="5">
      <c r="A5" s="10" t="inlineStr">
        <is>
          <t>解決率</t>
        </is>
      </c>
      <c r="B5" s="11" t="inlineStr">
        <is>
          <t>25.0%</t>
        </is>
      </c>
    </row>
    <row r="7">
      <c r="A7" s="8" t="inlineStr">
        <is>
          <t>ステータス別</t>
        </is>
      </c>
      <c r="B7" s="9" t="n"/>
    </row>
    <row r="8">
      <c r="A8" s="10" t="inlineStr">
        <is>
          <t>未対応</t>
        </is>
      </c>
      <c r="B8" s="11" t="n">
        <v>24</v>
      </c>
    </row>
    <row r="9">
      <c r="A9" s="10" t="inlineStr">
        <is>
          <t>対応中</t>
        </is>
      </c>
      <c r="B9" s="11" t="n">
        <v>1</v>
      </c>
    </row>
    <row r="10">
      <c r="A10" s="10" t="inlineStr">
        <is>
          <t>対応完了</t>
        </is>
      </c>
      <c r="B10" s="11" t="n">
        <v>1</v>
      </c>
    </row>
    <row r="11">
      <c r="A11" s="10" t="inlineStr">
        <is>
          <t>解決済</t>
        </is>
      </c>
      <c r="B11" s="11" t="n">
        <v>10</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4</v>
      </c>
    </row>
    <row r="25">
      <c r="A25" s="8" t="inlineStr">
        <is>
          <t>カテゴリ別（未解決）</t>
        </is>
      </c>
      <c r="B25" s="9" t="n"/>
    </row>
    <row r="26">
      <c r="A26" s="10" t="inlineStr">
        <is>
          <t>解析エンジン</t>
        </is>
      </c>
      <c r="B26" s="11" t="n">
        <v>6</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13</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40</v>
      </c>
      <c r="C24" t="n">
        <v>16</v>
      </c>
      <c r="D24" t="n">
        <v>14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2026-05-19T08:28:58Z</dcterms:created>
  <dcterms:modified xsi:type="dcterms:W3CDTF">2026-05-19T08:28:58Z</dcterms:modified>
</cp:coreProperties>
</file>