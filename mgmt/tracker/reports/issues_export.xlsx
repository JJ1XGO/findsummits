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'収束グラフ'!$A$2:$A$36</f>
            </strRef>
          </cat>
          <val>
            <numRef>
              <f>'収束グラフ'!$B$2:$B$36</f>
            </numRef>
          </val>
        </ser>
        <ser>
          <idx val="1"/>
          <order val="1"/>
          <tx>
            <strRef>
              <f>'収束グラフ'!C1</f>
            </strRef>
          </tx>
          <spPr>
            <a:ln w="20000">
              <a:solidFill>
                <a:srgbClr val="4472C4"/>
              </a:solidFill>
              <a:prstDash val="solid"/>
            </a:ln>
          </spPr>
          <marker>
            <symbol val="none"/>
            <spPr>
              <a:ln>
                <a:prstDash val="solid"/>
              </a:ln>
            </spPr>
          </marker>
          <cat>
            <strRef>
              <f>'収束グラフ'!$A$2:$A$36</f>
            </strRef>
          </cat>
          <val>
            <numRef>
              <f>'収束グラフ'!$C$2:$C$36</f>
            </numRef>
          </val>
        </ser>
        <ser>
          <idx val="2"/>
          <order val="2"/>
          <tx>
            <strRef>
              <f>'収束グラフ'!D1</f>
            </strRef>
          </tx>
          <spPr>
            <a:ln w="20000">
              <a:solidFill>
                <a:srgbClr val="70AD47"/>
              </a:solidFill>
              <a:prstDash val="solid"/>
            </a:ln>
          </spPr>
          <marker>
            <symbol val="none"/>
            <spPr>
              <a:ln>
                <a:prstDash val="solid"/>
              </a:ln>
            </spPr>
          </marker>
          <cat>
            <strRef>
              <f>'収束グラフ'!$A$2:$A$36</f>
            </strRef>
          </cat>
          <val>
            <numRef>
              <f>'収束グラフ'!$D$2:$D$36</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6" t="inlineStr">
        <is>
          <t>ISSUE-067</t>
        </is>
      </c>
      <c r="B68" s="6" t="inlineStr">
        <is>
          <t>国土地理院タイル出典表示の整備</t>
        </is>
      </c>
      <c r="C68" s="6" t="inlineStr"/>
      <c r="D68" s="6" t="inlineStr"/>
      <c r="E68" s="4" t="inlineStr">
        <is>
          <t>中</t>
        </is>
      </c>
      <c r="F68" s="6" t="inlineStr"/>
      <c r="G68" s="6" t="inlineStr"/>
      <c r="H68" s="6" t="inlineStr">
        <is>
          <t>2026-05-31</t>
        </is>
      </c>
      <c r="I68" s="6" t="inlineStr">
        <is>
          <t>SRS</t>
        </is>
      </c>
      <c r="J68" s="6" t="inlineStr"/>
      <c r="K68" s="6" t="inlineStr">
        <is>
          <t>対応完了</t>
        </is>
      </c>
      <c r="L68" s="6" t="inlineStr"/>
      <c r="M68" s="6" t="inlineStr"/>
      <c r="N68" s="6" t="inlineStr">
        <is>
          <t>UR-011 新設（URD）、FR-013/FR-012/FR-021 出典要件追加（SRS）、ADR-URD-014 作成済み。実装対象: README / output_geojson.py / merge.py / viewer_mockup.html XLSX出力。ADR-URD-014 参照: docs/decisions/ADR-URD-014-gsi-tile-attribution-policy.md</t>
        </is>
      </c>
      <c r="O68" s="6" t="inlineStr">
        <is>
          <t>2026-05-31</t>
        </is>
      </c>
      <c r="P68" s="6" t="inlineStr"/>
    </row>
    <row r="69" ht="40" customHeight="1">
      <c r="A69" s="7" t="inlineStr">
        <is>
          <t>ISSUE-068</t>
        </is>
      </c>
      <c r="B69" s="7" t="inlineStr">
        <is>
          <t>SRS パラメータ・引数の記述統一</t>
        </is>
      </c>
      <c r="C69" s="7"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7" t="inlineStr">
        <is>
          <t>改善</t>
        </is>
      </c>
      <c r="E69" s="4" t="inlineStr">
        <is>
          <t>中</t>
        </is>
      </c>
      <c r="F69" s="7" t="inlineStr">
        <is>
          <t>その他</t>
        </is>
      </c>
      <c r="G69" s="7" t="inlineStr"/>
      <c r="H69" s="7" t="inlineStr">
        <is>
          <t>2026-05-31</t>
        </is>
      </c>
      <c r="I69" s="7" t="inlineStr">
        <is>
          <t>SRS</t>
        </is>
      </c>
      <c r="J69" s="7" t="inlineStr">
        <is>
          <t>SRS</t>
        </is>
      </c>
      <c r="K69" s="7" t="inlineStr">
        <is>
          <t>対応完了</t>
        </is>
      </c>
      <c r="L69" s="7" t="inlineStr"/>
      <c r="M69" s="7" t="inlineStr">
        <is>
          <t>Phase A: ADR-SRS-014 起案 / Phase B: 02_SRS.md にデータ辞書セクション・テンプレ追加 / Phase C: 既存 FR を新テンプレへ移行（FR-004/008/001 で先行確認）/ Phase D: 00_GLOSSARY.md 同期</t>
        </is>
      </c>
      <c r="N69" s="7" t="inlineStr">
        <is>
          <t>計画ファイル: mgmt/plan.md（srs-nifty-tarjan）</t>
        </is>
      </c>
      <c r="O69" s="7" t="inlineStr">
        <is>
          <t>2026-05-31</t>
        </is>
      </c>
      <c r="P69" s="7" t="inlineStr"/>
    </row>
  </sheetData>
  <dataValidations count="5">
    <dataValidation sqref="K2:K69" showDropDown="0" showInputMessage="0" showErrorMessage="0" allowBlank="1" type="list">
      <formula1>"未対応,対応中,対応完了,解決済,却下"</formula1>
    </dataValidation>
    <dataValidation sqref="E2:E69" showDropDown="0" showInputMessage="0" showErrorMessage="0" allowBlank="1" type="list">
      <formula1>"高,中,低"</formula1>
    </dataValidation>
    <dataValidation sqref="D2:D69" showDropDown="0" showInputMessage="0" showErrorMessage="0" allowBlank="1" type="list">
      <formula1>"機能追加,改善,調査,設計"</formula1>
    </dataValidation>
    <dataValidation sqref="I2:I69" showDropDown="0" showInputMessage="0" showErrorMessage="0" allowBlank="1" type="list">
      <formula1>"URD,SRS,HLD,LLD,COD,UT,IT,ST,OPS"</formula1>
    </dataValidation>
    <dataValidation sqref="J2:J69"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68</v>
      </c>
    </row>
    <row r="3">
      <c r="A3" s="10" t="inlineStr">
        <is>
          <t>未解決件数</t>
        </is>
      </c>
      <c r="B3" s="11" t="n">
        <v>34</v>
      </c>
    </row>
    <row r="4">
      <c r="A4" s="10" t="inlineStr">
        <is>
          <t>解決済件数</t>
        </is>
      </c>
      <c r="B4" s="11" t="n">
        <v>28</v>
      </c>
    </row>
    <row r="5">
      <c r="A5" s="10" t="inlineStr">
        <is>
          <t>解決率</t>
        </is>
      </c>
      <c r="B5" s="11" t="inlineStr">
        <is>
          <t>41.2%</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9</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14</v>
      </c>
    </row>
    <row r="16">
      <c r="A16" s="10" t="inlineStr">
        <is>
          <t>中</t>
        </is>
      </c>
      <c r="B16" s="11" t="n">
        <v>13</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22</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10</v>
      </c>
    </row>
    <row r="32">
      <c r="A32" s="8" t="inlineStr">
        <is>
          <t>ステージ別（未解決）</t>
        </is>
      </c>
      <c r="B32" s="9" t="n"/>
    </row>
    <row r="33">
      <c r="A33" s="10" t="inlineStr">
        <is>
          <t>URD</t>
        </is>
      </c>
      <c r="B33" s="11" t="n">
        <v>1</v>
      </c>
    </row>
    <row r="34">
      <c r="A34" s="10" t="inlineStr">
        <is>
          <t>SRS</t>
        </is>
      </c>
      <c r="B34" s="11" t="n">
        <v>21</v>
      </c>
    </row>
    <row r="35">
      <c r="A35" s="10" t="inlineStr">
        <is>
          <t>HLD</t>
        </is>
      </c>
      <c r="B35" s="11" t="n">
        <v>1</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68</v>
      </c>
      <c r="C36" t="n">
        <v>41</v>
      </c>
      <c r="D36"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2026-05-31T09:01:41Z</dcterms:created>
  <dcterms:modified xsi:type="dcterms:W3CDTF">2026-05-31T09:01:42Z</dcterms:modified>
</cp:coreProperties>
</file>