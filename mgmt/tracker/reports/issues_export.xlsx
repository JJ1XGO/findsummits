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'収束グラフ'!$A$2:$A$43</f>
            </strRef>
          </cat>
          <val>
            <numRef>
              <f>'収束グラフ'!$B$2:$B$43</f>
            </numRef>
          </val>
        </ser>
        <ser>
          <idx val="1"/>
          <order val="1"/>
          <tx>
            <strRef>
              <f>'収束グラフ'!C1</f>
            </strRef>
          </tx>
          <spPr>
            <a:ln w="20000">
              <a:solidFill>
                <a:srgbClr val="4472C4"/>
              </a:solidFill>
              <a:prstDash val="solid"/>
            </a:ln>
          </spPr>
          <marker>
            <symbol val="none"/>
            <spPr>
              <a:ln>
                <a:prstDash val="solid"/>
              </a:ln>
            </spPr>
          </marker>
          <cat>
            <strRef>
              <f>'収束グラフ'!$A$2:$A$43</f>
            </strRef>
          </cat>
          <val>
            <numRef>
              <f>'収束グラフ'!$C$2:$C$43</f>
            </numRef>
          </val>
        </ser>
        <ser>
          <idx val="2"/>
          <order val="2"/>
          <tx>
            <strRef>
              <f>'収束グラフ'!D1</f>
            </strRef>
          </tx>
          <spPr>
            <a:ln w="20000">
              <a:solidFill>
                <a:srgbClr val="70AD47"/>
              </a:solidFill>
              <a:prstDash val="solid"/>
            </a:ln>
          </spPr>
          <marker>
            <symbol val="none"/>
            <spPr>
              <a:ln>
                <a:prstDash val="solid"/>
              </a:ln>
            </spPr>
          </marker>
          <cat>
            <strRef>
              <f>'収束グラフ'!$A$2:$A$43</f>
            </strRef>
          </cat>
          <val>
            <numRef>
              <f>'収束グラフ'!$D$2:$D$43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7" t="inlineStr">
        <is>
          <t>ISSUE-056</t>
        </is>
      </c>
      <c r="B57" s="7" t="inlineStr">
        <is>
          <t>prefetch_tiles.py: FR-001 仕様追従（全種別独立取得・404時ローカルキャッシュ削除）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7" t="inlineStr"/>
      <c r="P57" s="7" t="inlineStr"/>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6" t="inlineStr">
        <is>
          <t>ISSUE-079</t>
        </is>
      </c>
      <c r="B80" s="6" t="inlineStr">
        <is>
          <t>scripts/preprocess_pref_boundaries.py を FR-017 改訂版仕様に追従</t>
        </is>
      </c>
      <c r="C80" s="6"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6" t="inlineStr">
        <is>
          <t>改善</t>
        </is>
      </c>
      <c r="E80" s="3" t="inlineStr">
        <is>
          <t>高</t>
        </is>
      </c>
      <c r="F80" s="6" t="inlineStr">
        <is>
          <t>その他</t>
        </is>
      </c>
      <c r="G80" s="6" t="inlineStr"/>
      <c r="H80" s="6" t="inlineStr">
        <is>
          <t>2026-06-05</t>
        </is>
      </c>
      <c r="I80" s="6" t="inlineStr">
        <is>
          <t>COD</t>
        </is>
      </c>
      <c r="J80" s="6" t="inlineStr"/>
      <c r="K80" s="6" t="inlineStr">
        <is>
          <t>未対応</t>
        </is>
      </c>
      <c r="L80" s="6" t="inlineStr"/>
      <c r="M80" s="6" t="inlineStr"/>
      <c r="N80" s="6" t="inlineStr">
        <is>
          <t>【ADR-SRS-018 反映】4.1/4.2 の章順序入れ替え自体には実装上の影響なし。出力ファイル仕様（3 種類）は変更なし。</t>
        </is>
      </c>
      <c r="O80" s="6" t="inlineStr"/>
      <c r="P80" s="6" t="inlineStr"/>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6" t="inlineStr">
        <is>
          <t>ISSUE-081</t>
        </is>
      </c>
      <c r="B82" s="6" t="inlineStr">
        <is>
          <t>SRS: 北方領土除外をタイル取得段階に前倒し・4.1/4.2 入れ替え・3.2/3.3.1/3.3.2 修正</t>
        </is>
      </c>
      <c r="C82" s="6"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6" t="inlineStr"/>
      <c r="E82" s="3" t="inlineStr">
        <is>
          <t>高</t>
        </is>
      </c>
      <c r="F82" s="6" t="inlineStr"/>
      <c r="G82" s="6" t="inlineStr"/>
      <c r="H82" s="6" t="inlineStr">
        <is>
          <t>2026-06-07</t>
        </is>
      </c>
      <c r="I82" s="6" t="inlineStr">
        <is>
          <t>SRS</t>
        </is>
      </c>
      <c r="J82" s="6" t="inlineStr"/>
      <c r="K82" s="6" t="inlineStr">
        <is>
          <t>対応完了</t>
        </is>
      </c>
      <c r="L82" s="6" t="inlineStr"/>
      <c r="M82" s="6" t="inlineStr"/>
      <c r="N82" s="6" t="inlineStr"/>
      <c r="O82" s="6" t="inlineStr">
        <is>
          <t>2026-06-07</t>
        </is>
      </c>
      <c r="P82" s="6" t="inlineStr"/>
    </row>
  </sheetData>
  <dataValidations count="5">
    <dataValidation sqref="K2:K82" showDropDown="0" showInputMessage="0" showErrorMessage="0" allowBlank="1" type="list">
      <formula1>"未対応,対応中,対応完了,解決済,却下"</formula1>
    </dataValidation>
    <dataValidation sqref="E2:E82" showDropDown="0" showInputMessage="0" showErrorMessage="0" allowBlank="1" type="list">
      <formula1>"高,中,低"</formula1>
    </dataValidation>
    <dataValidation sqref="D2:D82" showDropDown="0" showInputMessage="0" showErrorMessage="0" allowBlank="1" type="list">
      <formula1>"機能追加,改善,調査,設計"</formula1>
    </dataValidation>
    <dataValidation sqref="I2:I82" showDropDown="0" showInputMessage="0" showErrorMessage="0" allowBlank="1" type="list">
      <formula1>"URD,SRS,HLD,LLD,COD,UT,IT,ST,OPS"</formula1>
    </dataValidation>
    <dataValidation sqref="J2:J8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81</v>
      </c>
    </row>
    <row r="3">
      <c r="A3" s="10" t="inlineStr">
        <is>
          <t>未解決件数</t>
        </is>
      </c>
      <c r="B3" s="11" t="n">
        <v>34</v>
      </c>
    </row>
    <row r="4">
      <c r="A4" s="10" t="inlineStr">
        <is>
          <t>解決済件数</t>
        </is>
      </c>
      <c r="B4" s="11" t="n">
        <v>41</v>
      </c>
    </row>
    <row r="5">
      <c r="A5" s="10" t="inlineStr">
        <is>
          <t>解決率</t>
        </is>
      </c>
      <c r="B5" s="11" t="inlineStr">
        <is>
          <t>50.6%</t>
        </is>
      </c>
    </row>
    <row r="7">
      <c r="A7" s="8" t="inlineStr">
        <is>
          <t>ステータス別</t>
        </is>
      </c>
      <c r="B7" s="9" t="n"/>
    </row>
    <row r="8">
      <c r="A8" s="10" t="inlineStr">
        <is>
          <t>未対応</t>
        </is>
      </c>
      <c r="B8" s="11" t="n">
        <v>33</v>
      </c>
    </row>
    <row r="9">
      <c r="A9" s="10" t="inlineStr">
        <is>
          <t>対応中</t>
        </is>
      </c>
      <c r="B9" s="11" t="n">
        <v>0</v>
      </c>
    </row>
    <row r="10">
      <c r="A10" s="10" t="inlineStr">
        <is>
          <t>対応完了</t>
        </is>
      </c>
      <c r="B10" s="11" t="n">
        <v>1</v>
      </c>
    </row>
    <row r="11">
      <c r="A11" s="10" t="inlineStr">
        <is>
          <t>解決済</t>
        </is>
      </c>
      <c r="B11" s="11" t="n">
        <v>41</v>
      </c>
    </row>
    <row r="12">
      <c r="A12" s="10" t="inlineStr">
        <is>
          <t>却下</t>
        </is>
      </c>
      <c r="B12" s="11" t="n">
        <v>6</v>
      </c>
    </row>
    <row r="14">
      <c r="A14" s="8" t="inlineStr">
        <is>
          <t>優先度別（未解決）</t>
        </is>
      </c>
      <c r="B14" s="9" t="n"/>
    </row>
    <row r="15">
      <c r="A15" s="10" t="inlineStr">
        <is>
          <t>高</t>
        </is>
      </c>
      <c r="B15" s="11" t="n">
        <v>16</v>
      </c>
    </row>
    <row r="16">
      <c r="A16" s="10" t="inlineStr">
        <is>
          <t>中</t>
        </is>
      </c>
      <c r="B16" s="11" t="n">
        <v>12</v>
      </c>
    </row>
    <row r="17">
      <c r="A17" s="10" t="inlineStr">
        <is>
          <t>低</t>
        </is>
      </c>
      <c r="B17" s="11" t="n">
        <v>6</v>
      </c>
    </row>
    <row r="19">
      <c r="A19" s="8" t="inlineStr">
        <is>
          <t>種別別（未解決）</t>
        </is>
      </c>
      <c r="B19" s="9" t="n"/>
    </row>
    <row r="20">
      <c r="A20" s="10" t="inlineStr">
        <is>
          <t>機能追加</t>
        </is>
      </c>
      <c r="B20" s="11" t="n">
        <v>9</v>
      </c>
    </row>
    <row r="21">
      <c r="A21" s="10" t="inlineStr">
        <is>
          <t>改善</t>
        </is>
      </c>
      <c r="B21" s="11" t="n">
        <v>22</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5</v>
      </c>
    </row>
    <row r="27">
      <c r="A27" s="10" t="inlineStr">
        <is>
          <t>GeoJSON出力</t>
        </is>
      </c>
      <c r="B27" s="11" t="n">
        <v>3</v>
      </c>
    </row>
    <row r="28">
      <c r="A28" s="10" t="inlineStr">
        <is>
          <t>設定</t>
        </is>
      </c>
      <c r="B28" s="11" t="n">
        <v>1</v>
      </c>
    </row>
    <row r="29">
      <c r="A29" s="10" t="inlineStr">
        <is>
          <t>その他</t>
        </is>
      </c>
      <c r="B29" s="11" t="n">
        <v>8</v>
      </c>
    </row>
    <row r="31">
      <c r="A31" s="8" t="inlineStr">
        <is>
          <t>ステージ別（未解決）</t>
        </is>
      </c>
      <c r="B31" s="9" t="n"/>
    </row>
    <row r="32">
      <c r="A32" s="10" t="inlineStr">
        <is>
          <t>SRS</t>
        </is>
      </c>
      <c r="B32" s="11" t="n">
        <v>18</v>
      </c>
    </row>
    <row r="33">
      <c r="A33" s="10" t="inlineStr">
        <is>
          <t>HLD</t>
        </is>
      </c>
      <c r="B33" s="11" t="n">
        <v>5</v>
      </c>
    </row>
    <row r="34">
      <c r="A34" s="10" t="inlineStr">
        <is>
          <t>COD</t>
        </is>
      </c>
      <c r="B34" s="11" t="n">
        <v>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47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2026-06-07T02:58:42Z</dcterms:created>
  <dcterms:modified xsi:type="dcterms:W3CDTF">2026-06-07T02:58:42Z</dcterms:modified>
</cp:coreProperties>
</file>