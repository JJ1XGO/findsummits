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'収束グラフ'!$A$2:$A$25</f>
            </strRef>
          </cat>
          <val>
            <numRef>
              <f>'収束グラフ'!$B$2:$B$25</f>
            </numRef>
          </val>
        </ser>
        <ser>
          <idx val="1"/>
          <order val="1"/>
          <tx>
            <strRef>
              <f>'収束グラフ'!C1</f>
            </strRef>
          </tx>
          <spPr>
            <a:ln w="20000">
              <a:solidFill>
                <a:srgbClr val="4472C4"/>
              </a:solidFill>
              <a:prstDash val="solid"/>
            </a:ln>
          </spPr>
          <marker>
            <symbol val="none"/>
            <spPr>
              <a:ln>
                <a:prstDash val="solid"/>
              </a:ln>
            </spPr>
          </marker>
          <cat>
            <strRef>
              <f>'収束グラフ'!$A$2:$A$25</f>
            </strRef>
          </cat>
          <val>
            <numRef>
              <f>'収束グラフ'!$C$2:$C$25</f>
            </numRef>
          </val>
        </ser>
        <ser>
          <idx val="2"/>
          <order val="2"/>
          <tx>
            <strRef>
              <f>'収束グラフ'!D1</f>
            </strRef>
          </tx>
          <spPr>
            <a:ln w="20000">
              <a:solidFill>
                <a:srgbClr val="70AD47"/>
              </a:solidFill>
              <a:prstDash val="solid"/>
            </a:ln>
          </spPr>
          <marker>
            <symbol val="none"/>
            <spPr>
              <a:ln>
                <a:prstDash val="solid"/>
              </a:ln>
            </spPr>
          </marker>
          <cat>
            <strRef>
              <f>'収束グラフ'!$A$2:$A$25</f>
            </strRef>
          </cat>
          <val>
            <numRef>
              <f>'収束グラフ'!$D$2:$D$25</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対応完了</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is>
          <t>2026-05-20</t>
        </is>
      </c>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sheetData>
  <dataValidations count="4">
    <dataValidation sqref="J2:J43" showDropDown="0" showInputMessage="0" showErrorMessage="0" allowBlank="1" type="list">
      <formula1>"未対応,対応中,対応完了,解決済,却下"</formula1>
    </dataValidation>
    <dataValidation sqref="E2:E43" showDropDown="0" showInputMessage="0" showErrorMessage="0" allowBlank="1" type="list">
      <formula1>"高,中,低"</formula1>
    </dataValidation>
    <dataValidation sqref="D2:D43" showDropDown="0" showInputMessage="0" showErrorMessage="0" allowBlank="1" type="list">
      <formula1>"機能追加,改善,調査,設計"</formula1>
    </dataValidation>
    <dataValidation sqref="I2:I4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42</v>
      </c>
    </row>
    <row r="3">
      <c r="A3" s="10" t="inlineStr">
        <is>
          <t>未解決件数</t>
        </is>
      </c>
      <c r="B3" s="11" t="n">
        <v>26</v>
      </c>
    </row>
    <row r="4">
      <c r="A4" s="10" t="inlineStr">
        <is>
          <t>解決済件数</t>
        </is>
      </c>
      <c r="B4" s="11" t="n">
        <v>12</v>
      </c>
    </row>
    <row r="5">
      <c r="A5" s="10" t="inlineStr">
        <is>
          <t>解決率</t>
        </is>
      </c>
      <c r="B5" s="11" t="inlineStr">
        <is>
          <t>28.6%</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1</v>
      </c>
    </row>
    <row r="11">
      <c r="A11" s="10" t="inlineStr">
        <is>
          <t>解決済</t>
        </is>
      </c>
      <c r="B11" s="11" t="n">
        <v>12</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4</v>
      </c>
    </row>
    <row r="21">
      <c r="A21" s="10" t="inlineStr">
        <is>
          <t>改善</t>
        </is>
      </c>
      <c r="B21" s="11" t="n">
        <v>13</v>
      </c>
    </row>
    <row r="22">
      <c r="A22" s="10" t="inlineStr">
        <is>
          <t>調査</t>
        </is>
      </c>
      <c r="B22" s="11" t="n">
        <v>2</v>
      </c>
    </row>
    <row r="23">
      <c r="A23" s="10" t="inlineStr">
        <is>
          <t>設計</t>
        </is>
      </c>
      <c r="B23" s="11" t="n">
        <v>4</v>
      </c>
    </row>
    <row r="25">
      <c r="A25" s="8" t="inlineStr">
        <is>
          <t>カテゴリ別（未解決）</t>
        </is>
      </c>
      <c r="B25" s="9" t="n"/>
    </row>
    <row r="26">
      <c r="A26" s="10" t="inlineStr">
        <is>
          <t>解析エンジン</t>
        </is>
      </c>
      <c r="B26" s="11" t="n">
        <v>6</v>
      </c>
    </row>
    <row r="27">
      <c r="A27" s="10" t="inlineStr">
        <is>
          <t>merge.py</t>
        </is>
      </c>
      <c r="B27" s="11" t="n">
        <v>4</v>
      </c>
    </row>
    <row r="28">
      <c r="A28" s="10" t="inlineStr">
        <is>
          <t>GeoJSON出力</t>
        </is>
      </c>
      <c r="B28" s="11" t="n">
        <v>1</v>
      </c>
    </row>
    <row r="29">
      <c r="A29" s="10" t="inlineStr">
        <is>
          <t>その他</t>
        </is>
      </c>
      <c r="B29" s="11" t="n">
        <v>12</v>
      </c>
    </row>
    <row r="31">
      <c r="A31" s="8" t="inlineStr">
        <is>
          <t>ステージ別（未解決）</t>
        </is>
      </c>
      <c r="B31" s="9" t="n"/>
    </row>
    <row r="32">
      <c r="A32" s="10" t="inlineStr">
        <is>
          <t>URD</t>
        </is>
      </c>
      <c r="B32" s="11" t="n">
        <v>2</v>
      </c>
    </row>
    <row r="33">
      <c r="A33" s="10" t="inlineStr">
        <is>
          <t>SRS</t>
        </is>
      </c>
      <c r="B33" s="11" t="n">
        <v>18</v>
      </c>
    </row>
    <row r="34">
      <c r="A34" s="10" t="inlineStr">
        <is>
          <t>HLD</t>
        </is>
      </c>
      <c r="B34" s="11" t="n">
        <v>1</v>
      </c>
    </row>
    <row r="35">
      <c r="A35" s="10" t="inlineStr">
        <is>
          <t>COD</t>
        </is>
      </c>
      <c r="B35" s="11" t="n">
        <v>3</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2026-05-20T02:49:20Z</dcterms:created>
  <dcterms:modified xsi:type="dcterms:W3CDTF">2026-05-20T02:49:20Z</dcterms:modified>
</cp:coreProperties>
</file>