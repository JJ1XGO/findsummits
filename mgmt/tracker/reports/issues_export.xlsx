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FFFBE0"/>
      </patternFill>
    </fill>
    <fill>
      <patternFill patternType="solid">
        <fgColor rgb="00E8F5E9"/>
      </patternFill>
    </fill>
    <fill>
      <patternFill patternType="solid">
        <fgColor rgb="00EBF3FB"/>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6" borderId="1" applyAlignment="1" pivotButton="0" quotePrefix="0" xfId="0">
      <alignment horizontal="left" vertical="center" wrapText="1"/>
    </xf>
    <xf numFmtId="0" fontId="2"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'収束グラフ'!$A$2:$A$29</f>
            </strRef>
          </cat>
          <val>
            <numRef>
              <f>'収束グラフ'!$B$2:$B$29</f>
            </numRef>
          </val>
        </ser>
        <ser>
          <idx val="1"/>
          <order val="1"/>
          <tx>
            <strRef>
              <f>'収束グラフ'!C1</f>
            </strRef>
          </tx>
          <spPr>
            <a:ln w="20000">
              <a:solidFill>
                <a:srgbClr val="4472C4"/>
              </a:solidFill>
              <a:prstDash val="solid"/>
            </a:ln>
          </spPr>
          <marker>
            <symbol val="none"/>
            <spPr>
              <a:ln>
                <a:prstDash val="solid"/>
              </a:ln>
            </spPr>
          </marker>
          <cat>
            <strRef>
              <f>'収束グラフ'!$A$2:$A$29</f>
            </strRef>
          </cat>
          <val>
            <numRef>
              <f>'収束グラフ'!$C$2:$C$29</f>
            </numRef>
          </val>
        </ser>
        <ser>
          <idx val="2"/>
          <order val="2"/>
          <tx>
            <strRef>
              <f>'収束グラフ'!D1</f>
            </strRef>
          </tx>
          <spPr>
            <a:ln w="20000">
              <a:solidFill>
                <a:srgbClr val="70AD47"/>
              </a:solidFill>
              <a:prstDash val="solid"/>
            </a:ln>
          </spPr>
          <marker>
            <symbol val="none"/>
            <spPr>
              <a:ln>
                <a:prstDash val="solid"/>
              </a:ln>
            </spPr>
          </marker>
          <cat>
            <strRef>
              <f>'収束グラフ'!$A$2:$A$29</f>
            </strRef>
          </cat>
          <val>
            <numRef>
              <f>'収束グラフ'!$D$2:$D$29</f>
            </numRef>
          </val>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P5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6" customWidth="1" min="10" max="10"/>
    <col width="12" customWidth="1" min="11" max="11"/>
    <col width="14" customWidth="1" min="12" max="12"/>
    <col width="30" customWidth="1" min="13" max="13"/>
    <col width="30" customWidth="1" min="14" max="14"/>
    <col width="14" customWidth="1" min="15" max="15"/>
    <col width="14" customWidth="1" min="16" max="16"/>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対応予定ステージ</t>
        </is>
      </c>
      <c r="K1" s="1" t="inlineStr">
        <is>
          <t>ステータス</t>
        </is>
      </c>
      <c r="L1" s="1" t="inlineStr">
        <is>
          <t>担当者</t>
        </is>
      </c>
      <c r="M1" s="1" t="inlineStr">
        <is>
          <t>対応方針</t>
        </is>
      </c>
      <c r="N1" s="1" t="inlineStr">
        <is>
          <t>備考</t>
        </is>
      </c>
      <c r="O1" s="1" t="inlineStr">
        <is>
          <t>対応完了日</t>
        </is>
      </c>
      <c r="P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c r="K2" s="2" t="inlineStr">
        <is>
          <t>解決済</t>
        </is>
      </c>
      <c r="L2" s="2" t="inlineStr">
        <is>
          <t>JJ1XGO</t>
        </is>
      </c>
      <c r="M2" s="2" t="inlineStr">
        <is>
          <t>python3 scripts/merge.py --mesh-list params/mesh_5339_neighbors.txt を実行して結果確認</t>
        </is>
      </c>
      <c r="N2" s="2" t="inlineStr">
        <is>
          <t>ステップ1（prefetch）・ステップ2（findsummits 9メッシュ解析）は完了済み</t>
        </is>
      </c>
      <c r="O2" s="2" t="inlineStr">
        <is>
          <t>2026-04-26</t>
        </is>
      </c>
      <c r="P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c r="K3" s="2" t="inlineStr">
        <is>
          <t>却下</t>
        </is>
      </c>
      <c r="L3" s="2" t="inlineStr">
        <is>
          <t>JJ1XGO</t>
        </is>
      </c>
      <c r="M3" s="2" t="inlineStr"/>
      <c r="N3" s="2" t="inlineStr">
        <is>
          <t>ISSUE-001（ステップ3検証）の後に着手。突合列: match_status, summit_code, summit_name, peak_lat, peak_lon, peak_elev, col_lat, col_lon, col_elev, prominence, orig_lat, orig_lon, orig_elev</t>
        </is>
      </c>
      <c r="O3" s="2" t="inlineStr">
        <is>
          <t>2026-05-17</t>
        </is>
      </c>
      <c r="P3" s="2" t="inlineStr">
        <is>
          <t>2026-05-17</t>
        </is>
      </c>
    </row>
    <row r="4" ht="40" customHeight="1">
      <c r="A4" s="2" t="inlineStr">
        <is>
          <t>ISSUE-003</t>
        </is>
      </c>
      <c r="B4" s="2" t="inlineStr">
        <is>
          <t>output_xlsx.py 新規作成（申請用XLSX生成）</t>
        </is>
      </c>
      <c r="C4" s="2" t="inlineStr">
        <is>
          <t>openpyxl で SOTA申請用 XLSX を生成するスクリプト。新規シート(NEW)・変更シート(MOVED/ELEV_CHANGE)・削除シート(DELETED)・変更なしシート(MATCH)の4シート構成。prominence &lt; 150m の行は黄色ハイライト。</t>
        </is>
      </c>
      <c r="D4" s="2" t="inlineStr">
        <is>
          <t>機能追加</t>
        </is>
      </c>
      <c r="E4" s="3" t="inlineStr">
        <is>
          <t>高</t>
        </is>
      </c>
      <c r="F4" s="2" t="inlineStr">
        <is>
          <t>その他</t>
        </is>
      </c>
      <c r="G4" s="2" t="inlineStr">
        <is>
          <t>JJ1XGO</t>
        </is>
      </c>
      <c r="H4" s="2" t="inlineStr">
        <is>
          <t>2026-04-27</t>
        </is>
      </c>
      <c r="I4" s="2" t="inlineStr">
        <is>
          <t>COD</t>
        </is>
      </c>
      <c r="J4" s="2" t="inlineStr"/>
      <c r="K4" s="2" t="inlineStr">
        <is>
          <t>却下</t>
        </is>
      </c>
      <c r="L4" s="2" t="inlineStr">
        <is>
          <t>JJ1XGO</t>
        </is>
      </c>
      <c r="M4" s="2" t="inlineStr">
        <is>
          <t>URD/SRS 再設計に伴い廃止。output_xlsx.py の仕様は SRS 確定後に改めて起票する。元の説明にあった4シート構成はテンプレート未確認のまま Claude が設計した誤り（実際は1シート縦並び）。</t>
        </is>
      </c>
      <c r="N4" s="2" t="inlineStr">
        <is>
          <t>【2026-05-22 更新】MOVED/ELEV_CHANGE シート言及は廃止。最新仕様: 変更行 = is_band_change_candidate=true の matched ピーク（FR-011）。変更前標高=sota_alt_m、変更後標高=round(peak_elev)、山岳名は変更前後同値。根拠文は自動生成（FR-011 ※5参照）。名称変更申請は廃止されたため変更シートは標高バンド遷移のみ対象。</t>
        </is>
      </c>
      <c r="O4" s="2" t="inlineStr"/>
      <c r="P4" s="2" t="inlineStr">
        <is>
          <t>2026-05-23</t>
        </is>
      </c>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4" t="inlineStr">
        <is>
          <t>中</t>
        </is>
      </c>
      <c r="F5" s="2" t="inlineStr">
        <is>
          <t>GeoJSON出力</t>
        </is>
      </c>
      <c r="G5" s="2" t="inlineStr">
        <is>
          <t>JJ1XGO</t>
        </is>
      </c>
      <c r="H5" s="2" t="inlineStr">
        <is>
          <t>2026-04-27</t>
        </is>
      </c>
      <c r="I5" s="2" t="inlineStr">
        <is>
          <t>COD</t>
        </is>
      </c>
      <c r="J5" s="2" t="inlineStr"/>
      <c r="K5" s="2" t="inlineStr">
        <is>
          <t>解決済</t>
        </is>
      </c>
      <c r="L5" s="2" t="inlineStr">
        <is>
          <t>JJ1XGO</t>
        </is>
      </c>
      <c r="M5" s="2" t="inlineStr"/>
      <c r="N5" s="2" t="inlineStr">
        <is>
          <t>SOTA スコア別色（MATCHのみ）: 10点=赤, 8点=黄, 6点=緑, 4点=シアン, 2点=青, 1点=紫</t>
        </is>
      </c>
      <c r="O5" s="2" t="inlineStr">
        <is>
          <t>2026-04-27</t>
        </is>
      </c>
      <c r="P5" s="2" t="inlineStr">
        <is>
          <t>2026-04-27</t>
        </is>
      </c>
    </row>
    <row r="6" ht="40" customHeight="1">
      <c r="A6" s="2" t="inlineStr">
        <is>
          <t>ISSUE-005</t>
        </is>
      </c>
      <c r="B6" s="2" t="inlineStr">
        <is>
          <t>九州・四国メッシュでの統合テスト</t>
        </is>
      </c>
      <c r="C6" s="2" t="inlineStr">
        <is>
          <t>フルパイプ検証（9メッシュ）が通った後、九州・四国メッシュで end-to-end テストを実施。findsummits4sotaja の過去結果（sotaJA_SummitPeakCol_All5.xlsx）と比較。許容差: ピーク座標 ±100m、標高 ±5m、プロミネンス ±20m。</t>
        </is>
      </c>
      <c r="D6" s="2" t="inlineStr">
        <is>
          <t>調査</t>
        </is>
      </c>
      <c r="E6" s="4" t="inlineStr">
        <is>
          <t>中</t>
        </is>
      </c>
      <c r="F6" s="2" t="inlineStr">
        <is>
          <t>解析エンジン</t>
        </is>
      </c>
      <c r="G6" s="2" t="inlineStr">
        <is>
          <t>JJ1XGO</t>
        </is>
      </c>
      <c r="H6" s="2" t="inlineStr">
        <is>
          <t>2026-04-27</t>
        </is>
      </c>
      <c r="I6" s="2" t="inlineStr">
        <is>
          <t>ST</t>
        </is>
      </c>
      <c r="J6" s="2" t="inlineStr"/>
      <c r="K6" s="2" t="inlineStr">
        <is>
          <t>却下</t>
        </is>
      </c>
      <c r="L6" s="2" t="inlineStr">
        <is>
          <t>JJ1XGO</t>
        </is>
      </c>
      <c r="M6" s="2" t="inlineStr">
        <is>
          <t>URD/SRS 再設計に伴い廃止。</t>
        </is>
      </c>
      <c r="N6" s="2" t="inlineStr">
        <is>
          <t>複数メッシュ境界付近の既知の山が GeoJSON で正しく1件表示されることも確認。DEM5なしメッシュの DEM10 フォールバック結果の妥当性も確認。</t>
        </is>
      </c>
      <c r="O6" s="2" t="inlineStr"/>
      <c r="P6" s="2" t="inlineStr">
        <is>
          <t>2026-05-23</t>
        </is>
      </c>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4" t="inlineStr">
        <is>
          <t>中</t>
        </is>
      </c>
      <c r="F7" s="2" t="inlineStr">
        <is>
          <t>merge.py</t>
        </is>
      </c>
      <c r="G7" s="2" t="inlineStr">
        <is>
          <t>JJ1XGO</t>
        </is>
      </c>
      <c r="H7" s="2" t="inlineStr">
        <is>
          <t>2026-04-27</t>
        </is>
      </c>
      <c r="I7" s="2" t="inlineStr">
        <is>
          <t>IT</t>
        </is>
      </c>
      <c r="J7" s="2" t="inlineStr"/>
      <c r="K7" s="2" t="inlineStr">
        <is>
          <t>却下</t>
        </is>
      </c>
      <c r="L7" s="2" t="inlineStr">
        <is>
          <t>JJ1XGO</t>
        </is>
      </c>
      <c r="M7" s="2" t="inlineStr"/>
      <c r="N7" s="2" t="inlineStr">
        <is>
          <t>ISSUE-001 完了後に着手</t>
        </is>
      </c>
      <c r="O7" s="2" t="inlineStr">
        <is>
          <t>2026-05-17</t>
        </is>
      </c>
      <c r="P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5" t="inlineStr">
        <is>
          <t>低</t>
        </is>
      </c>
      <c r="F8" s="2" t="inlineStr">
        <is>
          <t>その他</t>
        </is>
      </c>
      <c r="G8" s="2" t="inlineStr">
        <is>
          <t>JJ1XGO</t>
        </is>
      </c>
      <c r="H8" s="2" t="inlineStr">
        <is>
          <t>2026-04-27</t>
        </is>
      </c>
      <c r="I8" s="2" t="inlineStr">
        <is>
          <t>OPS</t>
        </is>
      </c>
      <c r="J8" s="2" t="inlineStr"/>
      <c r="K8" s="2" t="inlineStr">
        <is>
          <t>却下</t>
        </is>
      </c>
      <c r="L8" s="2" t="inlineStr">
        <is>
          <t>JJ1XGO</t>
        </is>
      </c>
      <c r="M8" s="2" t="inlineStr"/>
      <c r="N8" s="2" t="inlineStr">
        <is>
          <t>フルパイプ検証前に仕様を詰めても実行時の問題で仕様変更になりやすいため後回し</t>
        </is>
      </c>
      <c r="O8" s="2" t="inlineStr">
        <is>
          <t>2026-05-17</t>
        </is>
      </c>
      <c r="P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c r="K9" s="2" t="inlineStr">
        <is>
          <t>却下</t>
        </is>
      </c>
      <c r="L9" s="2" t="inlineStr">
        <is>
          <t>JJ1XGO</t>
        </is>
      </c>
      <c r="M9" s="2" t="inlineStr"/>
      <c r="N9" s="2" t="inlineStr">
        <is>
          <t>plan_v1.md: .claude/mgmt/plan_v1.md</t>
        </is>
      </c>
      <c r="O9" s="2" t="inlineStr">
        <is>
          <t>2026-05-17</t>
        </is>
      </c>
      <c r="P9" s="2" t="inlineStr">
        <is>
          <t>2026-05-17</t>
        </is>
      </c>
    </row>
    <row r="10" ht="40" customHeight="1">
      <c r="A10" s="6" t="inlineStr">
        <is>
          <t>ISSUE-009</t>
        </is>
      </c>
      <c r="B10" s="6" t="inlineStr">
        <is>
          <t>新規サミット仮コードへの地域コード自動付与</t>
        </is>
      </c>
      <c r="C10" s="6" t="inlineStr">
        <is>
          <t>現在は仮コードが ZZ/ZZ-001 形式の連番。座標から都道府県を判定し、SOTA JA のアソシエーション/リージョンコード（北海道・本州・四国・九州）を仮コードに反映できるか実装を検討する。</t>
        </is>
      </c>
      <c r="D10" s="6" t="inlineStr">
        <is>
          <t>機能追加</t>
        </is>
      </c>
      <c r="E10" s="5" t="inlineStr">
        <is>
          <t>低</t>
        </is>
      </c>
      <c r="F10" s="6" t="inlineStr">
        <is>
          <t>merge.py</t>
        </is>
      </c>
      <c r="G10" s="6" t="inlineStr">
        <is>
          <t>JJ1XGO</t>
        </is>
      </c>
      <c r="H10" s="6" t="inlineStr">
        <is>
          <t>2026-04-27</t>
        </is>
      </c>
      <c r="I10" s="6" t="inlineStr">
        <is>
          <t>HLD</t>
        </is>
      </c>
      <c r="J10" s="6" t="inlineStr">
        <is>
          <t>COD</t>
        </is>
      </c>
      <c r="K10" s="6" t="inlineStr">
        <is>
          <t>未対応</t>
        </is>
      </c>
      <c r="L10" s="6" t="inlineStr">
        <is>
          <t>Claude</t>
        </is>
      </c>
      <c r="M10" s="6" t="inlineStr">
        <is>
          <t>SRS FR-009 に仕様記述済み。COD ステージで preprocess_pref_boundaries.py を実行して N03 GeoJSON を生成後に実装する。</t>
        </is>
      </c>
      <c r="N10" s="6" t="inlineStr">
        <is>
          <t>将来実装候補。フルパイプ検証・申請用出力フェーズ完了後に検討。</t>
        </is>
      </c>
      <c r="O10" s="6" t="inlineStr"/>
      <c r="P10" s="6"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4" t="inlineStr">
        <is>
          <t>中</t>
        </is>
      </c>
      <c r="F11" s="2" t="inlineStr">
        <is>
          <t>設定</t>
        </is>
      </c>
      <c r="G11" s="2" t="inlineStr"/>
      <c r="H11" s="2" t="inlineStr">
        <is>
          <t>2026-04-28</t>
        </is>
      </c>
      <c r="I11" s="2" t="inlineStr">
        <is>
          <t>OPS</t>
        </is>
      </c>
      <c r="J11" s="2" t="inlineStr"/>
      <c r="K11" s="2" t="inlineStr">
        <is>
          <t>解決済</t>
        </is>
      </c>
      <c r="L11" s="2" t="inlineStr">
        <is>
          <t>JJ1XGO</t>
        </is>
      </c>
      <c r="M11" s="2" t="inlineStr">
        <is>
          <t>requirements.txt・.gitignore・CLAUDE.md は小規模な編集。README.md は現状に合わせて内容を整理してから更新する</t>
        </is>
      </c>
      <c r="N11" s="2" t="inlineStr"/>
      <c r="O11" s="2" t="inlineStr">
        <is>
          <t>2026-05-17</t>
        </is>
      </c>
      <c r="P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4" t="inlineStr">
        <is>
          <t>中</t>
        </is>
      </c>
      <c r="F12" s="2" t="inlineStr">
        <is>
          <t>設定</t>
        </is>
      </c>
      <c r="G12" s="2" t="inlineStr"/>
      <c r="H12" s="2" t="inlineStr">
        <is>
          <t>2026-04-28</t>
        </is>
      </c>
      <c r="I12" s="2" t="inlineStr">
        <is>
          <t>OPS</t>
        </is>
      </c>
      <c r="J12" s="2" t="inlineStr"/>
      <c r="K12" s="2" t="inlineStr">
        <is>
          <t>解決済</t>
        </is>
      </c>
      <c r="L12" s="2" t="inlineStr"/>
      <c r="M12" s="2" t="inlineStr">
        <is>
          <t>CLAUDE.mdのルールと制約セクションに追記</t>
        </is>
      </c>
      <c r="N12" s="2" t="inlineStr"/>
      <c r="O12" s="2" t="inlineStr">
        <is>
          <t>2026-04-28</t>
        </is>
      </c>
      <c r="P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4" t="inlineStr">
        <is>
          <t>中</t>
        </is>
      </c>
      <c r="F13" s="2" t="inlineStr"/>
      <c r="G13" s="2" t="inlineStr">
        <is>
          <t>JJ1XGO</t>
        </is>
      </c>
      <c r="H13" s="2" t="inlineStr">
        <is>
          <t>2026-05-08</t>
        </is>
      </c>
      <c r="I13" s="2" t="inlineStr">
        <is>
          <t>SRS</t>
        </is>
      </c>
      <c r="J13" s="2" t="inlineStr"/>
      <c r="K13" s="2" t="inlineStr">
        <is>
          <t>解決済</t>
        </is>
      </c>
      <c r="L13" s="2" t="inlineStr"/>
      <c r="M13" s="2" t="inlineStr">
        <is>
          <t>スコープ外として対応しない。matched サミットの座標・標高変更は本プロジェクトでは自動識別しない。既存登録情報は概ね正しいと判断。URD UR-003・スコープ外セクションに反映済み。</t>
        </is>
      </c>
      <c r="N13" s="2" t="inlineStr"/>
      <c r="O13" s="2" t="inlineStr">
        <is>
          <t>2026-05-10</t>
        </is>
      </c>
      <c r="P13" s="2" t="inlineStr">
        <is>
          <t>2026-05-17</t>
        </is>
      </c>
    </row>
    <row r="14" ht="40" customHeight="1">
      <c r="A14" s="6" t="inlineStr">
        <is>
          <t>ISSUE-013</t>
        </is>
      </c>
      <c r="B14" s="6" t="inlineStr">
        <is>
          <t>prefetch_tiles.py の取得範囲を各メッシュの最小範囲に修正</t>
        </is>
      </c>
      <c r="C14" s="6"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6" t="inlineStr">
        <is>
          <t>改善</t>
        </is>
      </c>
      <c r="E14" s="4" t="inlineStr">
        <is>
          <t>中</t>
        </is>
      </c>
      <c r="F14" s="6" t="inlineStr"/>
      <c r="G14" s="6" t="inlineStr"/>
      <c r="H14" s="6" t="inlineStr">
        <is>
          <t>2026-05-08</t>
        </is>
      </c>
      <c r="I14" s="6" t="inlineStr">
        <is>
          <t>COD</t>
        </is>
      </c>
      <c r="J14" s="6" t="inlineStr">
        <is>
          <t>COD</t>
        </is>
      </c>
      <c r="K14" s="6" t="inlineStr">
        <is>
          <t>未対応</t>
        </is>
      </c>
      <c r="L14" s="6" t="inlineStr">
        <is>
          <t>Claude</t>
        </is>
      </c>
      <c r="M14" s="6" t="inlineStr">
        <is>
          <t>scripts/prefetch_tiles.py の enumerate_jobs() から隣接メッシュ拡張ロジック（nb not in mesh_set の分岐）を削除し、各メッシュ単独の mesh_to_tile_range(meshcode) のみを取得するよう修正する。</t>
        </is>
      </c>
      <c r="N14" s="6" t="inlineStr"/>
      <c r="O14" s="6" t="inlineStr"/>
      <c r="P14" s="6" t="inlineStr"/>
    </row>
    <row r="15" ht="40" customHeight="1">
      <c r="A15" s="2" t="inlineStr">
        <is>
          <t>ISSUE-014</t>
        </is>
      </c>
      <c r="B15" s="2" t="inlineStr">
        <is>
          <t>削除候補サミットの最近接検出ピーク特定</t>
        </is>
      </c>
      <c r="C15" s="2"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2" t="inlineStr">
        <is>
          <t>機能追加</t>
        </is>
      </c>
      <c r="E15" s="4" t="inlineStr">
        <is>
          <t>中</t>
        </is>
      </c>
      <c r="F15" s="2" t="inlineStr"/>
      <c r="G15" s="2" t="inlineStr"/>
      <c r="H15" s="2" t="inlineStr">
        <is>
          <t>2026-05-09</t>
        </is>
      </c>
      <c r="I15" s="2" t="inlineStr">
        <is>
          <t>SRS</t>
        </is>
      </c>
      <c r="J15" s="2" t="inlineStr"/>
      <c r="K15" s="2" t="inlineStr">
        <is>
          <t>解決済</t>
        </is>
      </c>
      <c r="L15" s="2" t="inlineStr"/>
      <c r="M15" s="2" t="inlineStr">
        <is>
          <t>ADR-008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全体・ADR-004・ADR-008・GLOSSARY の全箇所を更新）。実装コード（src/*.c 等）への追従は別タスク（本 ISSUE のスコープ外）。</t>
        </is>
      </c>
      <c r="N15" s="2"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O15" s="2" t="inlineStr">
        <is>
          <t>2026-05-10</t>
        </is>
      </c>
      <c r="P15" s="2" t="inlineStr">
        <is>
          <t>2026-05-20</t>
        </is>
      </c>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4" t="inlineStr">
        <is>
          <t>中</t>
        </is>
      </c>
      <c r="F16" s="2" t="inlineStr"/>
      <c r="G16" s="2" t="inlineStr"/>
      <c r="H16" s="2" t="inlineStr">
        <is>
          <t>2026-05-09</t>
        </is>
      </c>
      <c r="I16" s="2" t="inlineStr">
        <is>
          <t>SRS</t>
        </is>
      </c>
      <c r="J16" s="2" t="inlineStr"/>
      <c r="K16" s="2" t="inlineStr">
        <is>
          <t>解決済</t>
        </is>
      </c>
      <c r="L16" s="2" t="inlineStr"/>
      <c r="M16" s="2" t="inlineStr">
        <is>
          <t>GitHub Pages 公開ツールからローカル用HTMLビューア（docs/mockup/viewer_mockup.html）に方針変更。山岳名JP/EN入力フォームとlocalStorage保存を実装。FR-013に仕様として取り込み済み。</t>
        </is>
      </c>
      <c r="N16" s="2" t="inlineStr"/>
      <c r="O16" s="2" t="inlineStr">
        <is>
          <t>2026-05-13</t>
        </is>
      </c>
      <c r="P16" s="2" t="inlineStr">
        <is>
          <t>2026-05-17</t>
        </is>
      </c>
    </row>
    <row r="17" ht="40" customHeight="1">
      <c r="A17" s="7" t="inlineStr">
        <is>
          <t>ISSUE-016</t>
        </is>
      </c>
      <c r="B17" s="7" t="inlineStr">
        <is>
          <t>merge.py: --mesh-list 指定時は対象メッシュの CSV のみ読み込む</t>
        </is>
      </c>
      <c r="C17" s="7"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7" t="inlineStr"/>
      <c r="E17" s="4" t="inlineStr">
        <is>
          <t>中</t>
        </is>
      </c>
      <c r="F17" s="7" t="inlineStr">
        <is>
          <t>merge.py</t>
        </is>
      </c>
      <c r="G17" s="7" t="inlineStr"/>
      <c r="H17" s="7" t="inlineStr">
        <is>
          <t>2026-05-09</t>
        </is>
      </c>
      <c r="I17" s="7" t="inlineStr">
        <is>
          <t>COD</t>
        </is>
      </c>
      <c r="J17" s="7" t="inlineStr">
        <is>
          <t>COD</t>
        </is>
      </c>
      <c r="K17" s="7" t="inlineStr">
        <is>
          <t>未対応</t>
        </is>
      </c>
      <c r="L17" s="7" t="inlineStr">
        <is>
          <t>Sonnet</t>
        </is>
      </c>
      <c r="M17" s="7" t="inlineStr">
        <is>
          <t>scripts/merge.py の load_peaks() に --mesh-list 指定時の絞り込みロジックを追加する。指定メッシュコードのセットを受け取り、csv_dir 配下から {meshcode}.csv のみを対象にする。省略時は現行の glob 全読み込みを維持する。</t>
        </is>
      </c>
      <c r="N17" s="7" t="inlineStr"/>
      <c r="O17" s="7" t="inlineStr"/>
      <c r="P17" s="7" t="inlineStr"/>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4" t="inlineStr">
        <is>
          <t>中</t>
        </is>
      </c>
      <c r="F18" s="2" t="inlineStr">
        <is>
          <t>merge.py</t>
        </is>
      </c>
      <c r="G18" s="2" t="inlineStr"/>
      <c r="H18" s="2" t="inlineStr">
        <is>
          <t>2026-05-09</t>
        </is>
      </c>
      <c r="I18" s="2" t="inlineStr">
        <is>
          <t>SRS</t>
        </is>
      </c>
      <c r="J18" s="2" t="inlineStr"/>
      <c r="K18" s="2" t="inlineStr">
        <is>
          <t>解決済</t>
        </is>
      </c>
      <c r="L18" s="2" t="inlineStr"/>
      <c r="M18" s="2" t="inlineStr">
        <is>
          <t>SRS に FR-018（activation.geojson 統合ステップ）を新設。フェーズ3を FR-008 → FR-018 → FR-014 の構成に再設計し、FR-009 の前に統合済み activation.geojson が参照できるよう仕様化。コミット 5b633f5（2026-05-09）で対応完了。</t>
        </is>
      </c>
      <c r="N18" s="2" t="inlineStr"/>
      <c r="O18" s="2" t="inlineStr">
        <is>
          <t>2026-05-09</t>
        </is>
      </c>
      <c r="P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c r="K19" s="2" t="inlineStr">
        <is>
          <t>解決済</t>
        </is>
      </c>
      <c r="L19" s="2" t="inlineStr"/>
      <c r="M19" s="2" t="inlineStr">
        <is>
          <t>案 B（peak.match_status は変更せず、summit.dominant_peak_code で紐付けのみ）を採用。peak は常に match_status=new のまま、delete サミットが従属する dominant peak を dominant_peak_code で参照する形で実装。SRS FR-009・ADR-008 L29 参照。</t>
        </is>
      </c>
      <c r="N19" s="2" t="inlineStr"/>
      <c r="O19" s="2" t="inlineStr">
        <is>
          <t>2026-05-16</t>
        </is>
      </c>
      <c r="P19" s="2" t="inlineStr">
        <is>
          <t>2026-05-17</t>
        </is>
      </c>
    </row>
    <row r="20" ht="40" customHeight="1">
      <c r="A20" s="2" t="inlineStr">
        <is>
          <t>ISSUE-019</t>
        </is>
      </c>
      <c r="B20" s="2" t="inlineStr">
        <is>
          <t>FR-009: 仮サミットコード採番順序の規定</t>
        </is>
      </c>
      <c r="C20" s="2"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2" t="inlineStr">
        <is>
          <t>設計</t>
        </is>
      </c>
      <c r="E20" s="3" t="inlineStr">
        <is>
          <t>高</t>
        </is>
      </c>
      <c r="F20" s="2" t="inlineStr">
        <is>
          <t>merge.py</t>
        </is>
      </c>
      <c r="G20" s="2" t="inlineStr"/>
      <c r="H20" s="2" t="inlineStr">
        <is>
          <t>2026-05-14</t>
        </is>
      </c>
      <c r="I20" s="2" t="inlineStr">
        <is>
          <t>SRS</t>
        </is>
      </c>
      <c r="J20" s="2" t="inlineStr"/>
      <c r="K20" s="2" t="inlineStr">
        <is>
          <t>解決済</t>
        </is>
      </c>
      <c r="L20" s="2" t="inlineStr"/>
      <c r="M20" s="2"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N20" s="2"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
【2026-05-20 訂正】対応完了コメントに記載した『プロミネンス降順 → peak_lat 降順 → peak_lon 昇順』は Claude の解釈ミス。正しくは『標高降順 → プロミネンス降順 → peak_lat 降順 → peak_lon 昇順』（標高が 1 次キー、プロミネンスは標高同値時のタイブレーク）。SRS FR-009 / NFR-003 も訂正済（commit にて反映）。</t>
        </is>
      </c>
      <c r="O20" s="2" t="inlineStr">
        <is>
          <t>2026-05-20</t>
        </is>
      </c>
      <c r="P20" s="2" t="inlineStr">
        <is>
          <t>2026-05-20</t>
        </is>
      </c>
    </row>
    <row r="21" ht="40" customHeight="1">
      <c r="A21" s="2" t="inlineStr">
        <is>
          <t>ISSUE-020</t>
        </is>
      </c>
      <c r="B21" s="2" t="inlineStr">
        <is>
          <t>FR-013 / FR-014: 手動調査待ちピークの GeoJSON フィーチャ扱い</t>
        </is>
      </c>
      <c r="C21" s="2"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2" t="inlineStr">
        <is>
          <t>設計</t>
        </is>
      </c>
      <c r="E21" s="3" t="inlineStr">
        <is>
          <t>高</t>
        </is>
      </c>
      <c r="F21" s="2" t="inlineStr">
        <is>
          <t>GeoJSON出力</t>
        </is>
      </c>
      <c r="G21" s="2" t="inlineStr"/>
      <c r="H21" s="2" t="inlineStr">
        <is>
          <t>2026-05-14</t>
        </is>
      </c>
      <c r="I21" s="2" t="inlineStr">
        <is>
          <t>SRS</t>
        </is>
      </c>
      <c r="J21" s="2" t="inlineStr"/>
      <c r="K21" s="2" t="inlineStr">
        <is>
          <t>解決済</t>
        </is>
      </c>
      <c r="L21" s="2" t="inlineStr"/>
      <c r="M21" s="2" t="inlineStr">
        <is>
          <t>delete判定ゾーンポリゴン方式（max(col_elev, peak_elev - delete_zone_max_drop) 以上の Flood Fill）を採用し、コル等高線ポリゴンを廃止。実装可能な仕様レベルまで確定。
Phase A 完了（SRS / ADR / GLOSSARY 改修）:
- ADR-011 (delete判定ゾーンポリゴン採用) 新規作成
- ADR-007 / ADR-008 を delete判定ゾーン仕様に更新
- SRS FR-009 / FR-013 / FR-014 / FR-016 / 6.8 / 6.11 を delete判定ゾーン仕様に改修
- GLOSSARY に delete判定ゾーン用語追加、コル等高線ポリゴン削除
Phase B 完了（delete_zone_max_drop 実測確定）:
- analysis/sota_dem_elevation_diff.py 新規作成（4,600 件の JA サミットで abs(SOTA-DEM) を実測）
- 廃止サミット 86 件除外、有効 4,514 件の実測結果: 平均 2.09m / 最大 52.26m (JA/TK-014 大山)
- delete_zone_max_drop = 250m に確定（= 150 + ceil(52.26/50)*50）
- ADR-011 と SRS FR-016 を確定値で更新
Phase C-E（実装）は別 ISSUE に切り出して進める:
- ISSUE-040: C++/OpenCV で FR-016 実装（AZ + delete判定ゾーン、notes 更新済み）
- ISSUE-043: merge.py 改修（AZ/delete-zone PIP, 不備フラグ, exit code, dominant 改名）
- ISSUE-044: output_geojson.py 改修 + merged_viewer.html 実装
- ISSUE-045: params/config.ini.example に delete_zone_max_drop = 250 追加</t>
        </is>
      </c>
      <c r="N21" s="2" t="inlineStr">
        <is>
          <t>【議論結論 2026-05-21】
- 旧3案（A/B/C）は破棄。delete判定ゾーンポリゴン方式を採用。
- Flood Fill 閾値: max(col_elev, peak_elev - 250m) 以上（プロミネンス連動 + 250m キャップ）
- 250m の根拠: 暫定（感覚値）。Phase B で SOTA 全サミットの abs(SOTA標高-DEM標高) 分布から確定予定。
- 250m は config.ini パラメータ化（delete_zone_max_drop）。
- 既存サミットの判定: matched (AZ内) / delete (delete判定ゾーン内+AZ外) / unmatched (どちらでもない=エラー停止)
- unmatched 発生時は merge.py を non-zero exit、FR-013 (GeoJSON/HTML) 生成スキップ
- merged.csv に不備種別ごとの bool 列追加（is_unmatched_summit / is_area_incomplete / is_key_col_unresolved / is_out_of_range_summit / is_dem_invalid_summit）
- ADR-007 維持（peak.match_status は matched/dominant/new、ポリゴンだけ置換）
- ADR-008 維持（主ピーク特定はプロミネンス最小）
- FR-014 広域解析の役割をコル特定のみに縮小（delete判定ゾーンは 3×3 完結）
【段取り】ハイブリッド方式
1. Phase A: SRS 改修（250m は TBD で記述）→ ユーザーレビュー
2. Phase B: 250m 実データ検証 → 値確定
3. Phase A 微更新（TBD → 確定値）
4. Phase C-E: 実装（C エンジン → merge.py → output_geojson.py）
【影響範囲】
- docs/02_SRS.md FR-009/013/014/016
- docs/decisions/ADR-007/008（影響確認）
- docs/decisions/ADR-NNN-delete-zone-polygon.md（新規）
- docs/00_GLOSSARY.md
- src/analyze.c, src/mesh_analyze.c
- scripts/merge.py, scripts/output_geojson.py
- params/config.ini.example
【別 ISSUE 切り出し候補】
- area_complete=false ピークの隣接メッシュ合体問題
- area_complete スコープ明確化（AZ 用 / delete判定ゾーン用の分離）
- HTML ビューア（merged_viewer.html）実装範囲</t>
        </is>
      </c>
      <c r="O21" s="2" t="inlineStr">
        <is>
          <t>2026-05-21</t>
        </is>
      </c>
      <c r="P21" s="2" t="inlineStr">
        <is>
          <t>2026-05-22</t>
        </is>
      </c>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4" t="inlineStr">
        <is>
          <t>中</t>
        </is>
      </c>
      <c r="F22" s="2" t="inlineStr">
        <is>
          <t>merge.py</t>
        </is>
      </c>
      <c r="G22" s="2" t="inlineStr"/>
      <c r="H22" s="2" t="inlineStr">
        <is>
          <t>2026-05-14</t>
        </is>
      </c>
      <c r="I22" s="2" t="inlineStr">
        <is>
          <t>SRS</t>
        </is>
      </c>
      <c r="J22" s="2" t="inlineStr"/>
      <c r="K22" s="2" t="inlineStr">
        <is>
          <t>解決済</t>
        </is>
      </c>
      <c r="L22" s="2" t="inlineStr"/>
      <c r="M22" s="2" t="inlineStr">
        <is>
          <t>FR-014 出力節に以下のいずれかを明示:
案A: 'per-mesh ファイルは更新せず、merged.csv / merged_activation.geojson のみ更新'
案B: '中間ファイルも更新する'（再現性向上のため）</t>
        </is>
      </c>
      <c r="N22" s="2" t="inlineStr">
        <is>
          <t>【最終決定】FR-014 は縮小版パイプライン構造を採用:
- 広域 per-mesh CSV/GeoJSON を新規出力するのみ
- 通常 per-mesh ファイル（&lt;meshcode&gt;.csv / &lt;meshcode&gt;_activation.geojson）は更新しない
- merged.csv / merged_activation.geojson への差分上書きも行わない
- merged 更新は FR-008/FR-018 の再実行（重複排除ロジックで広域結果が代表に選ばれる）で自動的に実施
反映先: SRS FR-014 / FR-008 / FR-018、ADR-004 Decision「出力スコープ」</t>
        </is>
      </c>
      <c r="O22" s="2" t="inlineStr">
        <is>
          <t>2026-05-18</t>
        </is>
      </c>
      <c r="P22" s="2" t="inlineStr">
        <is>
          <t>2026-05-20</t>
        </is>
      </c>
    </row>
    <row r="23" ht="40" customHeight="1">
      <c r="A23" s="2" t="inlineStr">
        <is>
          <t>ISSUE-022</t>
        </is>
      </c>
      <c r="B23" s="2" t="inlineStr">
        <is>
          <t>FR-017: 北方領土タイル判定基準（タイル中心点）の明示</t>
        </is>
      </c>
      <c r="C23" s="2" t="inlineStr">
        <is>
          <t>URD/SRS レビュー指摘 M-2。FR-017 L125 で 'excluded_tiles.txt = ポリゴン内のタイル座標リスト' とあるが、'ポリゴン内' の判定基準（タイル中心点 / タイルの任意点 / タイルとポリゴンの交差）が SRS 本文で未規定。ADR-005 L47 では 'ポリゴン内に中心点が含まれる全タイル' と書かれているが SRS / GLOSSARY に反映されていない。</t>
        </is>
      </c>
      <c r="D23" s="2" t="inlineStr">
        <is>
          <t>改善</t>
        </is>
      </c>
      <c r="E23" s="4" t="inlineStr">
        <is>
          <t>中</t>
        </is>
      </c>
      <c r="F23" s="2" t="inlineStr">
        <is>
          <t>その他</t>
        </is>
      </c>
      <c r="G23" s="2" t="inlineStr"/>
      <c r="H23" s="2" t="inlineStr">
        <is>
          <t>2026-05-14</t>
        </is>
      </c>
      <c r="I23" s="2" t="inlineStr">
        <is>
          <t>SRS</t>
        </is>
      </c>
      <c r="J23" s="2" t="inlineStr"/>
      <c r="K23" s="2" t="inlineStr">
        <is>
          <t>解決済</t>
        </is>
      </c>
      <c r="L23" s="2" t="inlineStr">
        <is>
          <t>Claude</t>
        </is>
      </c>
      <c r="M23" s="2" t="inlineStr">
        <is>
          <t>FR-017 に 'タイル中心点が北方領土6村ポリゴンに含まれるタイルを列挙' と明示し、ADR-005 と同じ規定を SRS に転記する。</t>
        </is>
      </c>
      <c r="N23" s="2" t="inlineStr"/>
      <c r="O23" s="2" t="inlineStr">
        <is>
          <t>2026-05-23</t>
        </is>
      </c>
      <c r="P23" s="2" t="inlineStr">
        <is>
          <t>2026-05-23</t>
        </is>
      </c>
    </row>
    <row r="24" ht="40" customHeight="1">
      <c r="A24" s="2" t="inlineStr">
        <is>
          <t>ISSUE-023</t>
        </is>
      </c>
      <c r="B24" s="2" t="inlineStr">
        <is>
          <t>NFR-003: 決定論性スコープから timestamp 除外を明記</t>
        </is>
      </c>
      <c r="C24" s="2" t="inlineStr">
        <is>
          <t>URD/SRS レビュー指摘 M-3。NFR-003 L527-529 で 'すべての出力が同一の内容になること' とあるが、merged.geojson の metadata.generated_at は実行時刻に依存するため完全な同一性は不可能。</t>
        </is>
      </c>
      <c r="D24" s="2" t="inlineStr">
        <is>
          <t>改善</t>
        </is>
      </c>
      <c r="E24" s="4" t="inlineStr">
        <is>
          <t>中</t>
        </is>
      </c>
      <c r="F24" s="2" t="inlineStr">
        <is>
          <t>その他</t>
        </is>
      </c>
      <c r="G24" s="2" t="inlineStr"/>
      <c r="H24" s="2" t="inlineStr">
        <is>
          <t>2026-05-14</t>
        </is>
      </c>
      <c r="I24" s="2" t="inlineStr">
        <is>
          <t>SRS</t>
        </is>
      </c>
      <c r="J24" s="2" t="inlineStr"/>
      <c r="K24" s="2" t="inlineStr">
        <is>
          <t>解決済</t>
        </is>
      </c>
      <c r="L24" s="2" t="inlineStr">
        <is>
          <t>Claude</t>
        </is>
      </c>
      <c r="M24" s="2" t="inlineStr">
        <is>
          <t>NFR-003 に 'metadata.generated_at 等の実行時タイムスタンプを除き、ピーク座標・標高・突合結果・採番が同一であること' と除外規定を明記。</t>
        </is>
      </c>
      <c r="N24" s="2" t="inlineStr"/>
      <c r="O24" s="2" t="inlineStr">
        <is>
          <t>2026-05-23</t>
        </is>
      </c>
      <c r="P24" s="2" t="inlineStr">
        <is>
          <t>2026-05-23</t>
        </is>
      </c>
    </row>
    <row r="25" ht="40" customHeight="1">
      <c r="A25" s="7" t="inlineStr">
        <is>
          <t>ISSUE-024</t>
        </is>
      </c>
      <c r="B25" s="7" t="inlineStr">
        <is>
          <t>FR-015: 標高地形図の縮小方法を規定</t>
        </is>
      </c>
      <c r="C25" s="7"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7" t="inlineStr">
        <is>
          <t>改善</t>
        </is>
      </c>
      <c r="E25" s="4" t="inlineStr">
        <is>
          <t>中</t>
        </is>
      </c>
      <c r="F25" s="7" t="inlineStr">
        <is>
          <t>解析エンジン</t>
        </is>
      </c>
      <c r="G25" s="7" t="inlineStr"/>
      <c r="H25" s="7" t="inlineStr">
        <is>
          <t>2026-05-14</t>
        </is>
      </c>
      <c r="I25" s="7" t="inlineStr">
        <is>
          <t>SRS</t>
        </is>
      </c>
      <c r="J25" s="7" t="inlineStr">
        <is>
          <t>SRS</t>
        </is>
      </c>
      <c r="K25" s="7" t="inlineStr">
        <is>
          <t>対応完了</t>
        </is>
      </c>
      <c r="L25" s="7" t="inlineStr"/>
      <c r="M25" s="7" t="inlineStr">
        <is>
          <t>FR-015 に縮小方式を明示する（推奨: max pooling でダウンサンプル、NODATA は除外）。もしくは HLD で規定する旨を SRS に明記。</t>
        </is>
      </c>
      <c r="N25" s="7" t="inlineStr"/>
      <c r="O25" s="7" t="inlineStr">
        <is>
          <t>2026-05-23</t>
        </is>
      </c>
      <c r="P25" s="7" t="inlineStr"/>
    </row>
    <row r="26" ht="40" customHeight="1">
      <c r="A26" s="2" t="inlineStr">
        <is>
          <t>ISSUE-025</t>
        </is>
      </c>
      <c r="B26" s="2" t="inlineStr">
        <is>
          <t>FR-009 等: 標高バンド境界値（points 1/2/4/6/8/10）の規定</t>
        </is>
      </c>
      <c r="C26" s="2"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2" t="inlineStr">
        <is>
          <t>設計</t>
        </is>
      </c>
      <c r="E26" s="4" t="inlineStr">
        <is>
          <t>中</t>
        </is>
      </c>
      <c r="F26" s="2" t="inlineStr">
        <is>
          <t>merge.py</t>
        </is>
      </c>
      <c r="G26" s="2" t="inlineStr"/>
      <c r="H26" s="2" t="inlineStr">
        <is>
          <t>2026-05-14</t>
        </is>
      </c>
      <c r="I26" s="2" t="inlineStr">
        <is>
          <t>SRS</t>
        </is>
      </c>
      <c r="J26" s="2" t="inlineStr"/>
      <c r="K26" s="2" t="inlineStr">
        <is>
          <t>解決済</t>
        </is>
      </c>
      <c r="L26" s="2" t="inlineStr"/>
      <c r="M26" s="2" t="inlineStr">
        <is>
          <t>FR-009 の用語定義または GLOSSARY で標高バンド境界表を提示する（SOTA 日本支部の正式表を出典として引用）。緯度区分がある場合は区分も含めて表で記述。</t>
        </is>
      </c>
      <c r="N26" s="2" t="inlineStr">
        <is>
          <t>【2026-05-22 対応完了】GLOSSARY に SOTA 日本支部参照マニュアル（2025年7月改定版）に基づく標高バンド表を追加（全国統一・地域依存なし）。SRS FR-009 に変更申請判定（Points バンド遷移）セクションを追加し、GLOSSARY への参照リンクで出典を明示。ref/SOURCES.md にも出典エントリを追加。本 ISSUE は ISSUE-046（変更申請判定スコープ変更）に統合。</t>
        </is>
      </c>
      <c r="O26" s="2" t="inlineStr">
        <is>
          <t>2026-05-22</t>
        </is>
      </c>
      <c r="P26" s="2" t="inlineStr">
        <is>
          <t>2026-05-22</t>
        </is>
      </c>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5" t="inlineStr">
        <is>
          <t>低</t>
        </is>
      </c>
      <c r="F27" s="2" t="inlineStr">
        <is>
          <t>その他</t>
        </is>
      </c>
      <c r="G27" s="2" t="inlineStr"/>
      <c r="H27" s="2" t="inlineStr">
        <is>
          <t>2026-05-14</t>
        </is>
      </c>
      <c r="I27" s="2" t="inlineStr">
        <is>
          <t>SRS</t>
        </is>
      </c>
      <c r="J27" s="2" t="inlineStr"/>
      <c r="K27" s="2" t="inlineStr">
        <is>
          <t>解決済</t>
        </is>
      </c>
      <c r="L27" s="2" t="inlineStr"/>
      <c r="M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N27" s="2" t="inlineStr"/>
      <c r="O27" s="2" t="inlineStr">
        <is>
          <t>2026-05-17</t>
        </is>
      </c>
      <c r="P27" s="2" t="inlineStr">
        <is>
          <t>2026-05-17</t>
        </is>
      </c>
    </row>
    <row r="28" ht="40" customHeight="1">
      <c r="A28" s="2" t="inlineStr">
        <is>
          <t>ISSUE-027</t>
        </is>
      </c>
      <c r="B28" s="2" t="inlineStr">
        <is>
          <t>GLOSSARY 補完（削除候補・dominant peak 見出し統一）</t>
        </is>
      </c>
      <c r="C28" s="2" t="inlineStr">
        <is>
          <t>URD/SRS レビュー指摘 L-4。'削除候補（deleted）' が用語集に独立項目として未定義。dominant peak の説明文で言及されるのみ。</t>
        </is>
      </c>
      <c r="D28" s="2" t="inlineStr">
        <is>
          <t>改善</t>
        </is>
      </c>
      <c r="E28" s="5" t="inlineStr">
        <is>
          <t>低</t>
        </is>
      </c>
      <c r="F28" s="2" t="inlineStr">
        <is>
          <t>その他</t>
        </is>
      </c>
      <c r="G28" s="2" t="inlineStr"/>
      <c r="H28" s="2" t="inlineStr">
        <is>
          <t>2026-05-14</t>
        </is>
      </c>
      <c r="I28" s="2" t="inlineStr">
        <is>
          <t>SRS</t>
        </is>
      </c>
      <c r="J28" s="2" t="inlineStr"/>
      <c r="K28" s="2" t="inlineStr">
        <is>
          <t>解決済</t>
        </is>
      </c>
      <c r="L28" s="2" t="inlineStr">
        <is>
          <t>Claude</t>
        </is>
      </c>
      <c r="M28" s="2" t="inlineStr">
        <is>
          <t>GLOSSARY に以下を追加:
(1) '削除候補（deleted サミット）' を独立項目として追加（ISSUE-018 の sota_summit.match_status=deleted 定義と整合）
(2) ISSUE-026 と協調して 'dominant peak' 見出しを英語表記に統一</t>
        </is>
      </c>
      <c r="N28" s="2" t="inlineStr"/>
      <c r="O28" s="2" t="inlineStr">
        <is>
          <t>2026-05-23</t>
        </is>
      </c>
      <c r="P28" s="2" t="inlineStr">
        <is>
          <t>2026-05-23</t>
        </is>
      </c>
    </row>
    <row r="29" ht="40" customHeight="1">
      <c r="A29" s="2" t="inlineStr">
        <is>
          <t>ISSUE-028</t>
        </is>
      </c>
      <c r="B29" s="2" t="inlineStr">
        <is>
          <t>フォールバック規定の集約（FR-003 / FR-017 / 6.9 の重複解消）</t>
        </is>
      </c>
      <c r="C29" s="2" t="inlineStr">
        <is>
          <t>URD/SRS レビュー指摘 L-5。excluded_tiles.txt / regions.geojson / municipalities.geojson の未存在時フォールバック動作が FR-003 / FR-017 / 6.9 の3箇所で重複記載されている。変更時の同期コストが高い。</t>
        </is>
      </c>
      <c r="D29" s="2" t="inlineStr">
        <is>
          <t>改善</t>
        </is>
      </c>
      <c r="E29" s="5" t="inlineStr">
        <is>
          <t>低</t>
        </is>
      </c>
      <c r="F29" s="2" t="inlineStr">
        <is>
          <t>その他</t>
        </is>
      </c>
      <c r="G29" s="2" t="inlineStr"/>
      <c r="H29" s="2" t="inlineStr">
        <is>
          <t>2026-05-14</t>
        </is>
      </c>
      <c r="I29" s="2" t="inlineStr">
        <is>
          <t>SRS</t>
        </is>
      </c>
      <c r="J29" s="2" t="inlineStr"/>
      <c r="K29" s="2" t="inlineStr">
        <is>
          <t>解決済</t>
        </is>
      </c>
      <c r="L29" s="2" t="inlineStr">
        <is>
          <t>Claude</t>
        </is>
      </c>
      <c r="M29" s="2" t="inlineStr">
        <is>
          <t>フォールバック規定を 1 箇所（推奨: FR-017 のみ）に集約し、他箇所からは '詳細は FR-017 参照' とリンクする。</t>
        </is>
      </c>
      <c r="N29" s="2" t="inlineStr"/>
      <c r="O29" s="2" t="inlineStr">
        <is>
          <t>2026-05-23</t>
        </is>
      </c>
      <c r="P29" s="2" t="inlineStr">
        <is>
          <t>2026-05-23</t>
        </is>
      </c>
    </row>
    <row r="30" ht="40" customHeight="1">
      <c r="A30" s="6" t="inlineStr">
        <is>
          <t>ISSUE-029</t>
        </is>
      </c>
      <c r="B30" s="6" t="inlineStr">
        <is>
          <t>UR-008 / UR-009 の要件性検討（NFR への再マップ）</t>
        </is>
      </c>
      <c r="C30" s="6"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6" t="inlineStr">
        <is>
          <t>設計</t>
        </is>
      </c>
      <c r="E30" s="4" t="inlineStr">
        <is>
          <t>中</t>
        </is>
      </c>
      <c r="F30" s="6" t="inlineStr">
        <is>
          <t>その他</t>
        </is>
      </c>
      <c r="G30" s="6" t="inlineStr"/>
      <c r="H30" s="6" t="inlineStr">
        <is>
          <t>2026-05-14</t>
        </is>
      </c>
      <c r="I30" s="6" t="inlineStr">
        <is>
          <t>URD</t>
        </is>
      </c>
      <c r="J30" s="6" t="inlineStr">
        <is>
          <t>SRS</t>
        </is>
      </c>
      <c r="K30" s="6" t="inlineStr">
        <is>
          <t>対応完了</t>
        </is>
      </c>
      <c r="L30" s="6" t="inlineStr"/>
      <c r="M30" s="6"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N30" s="6"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O30" s="6" t="inlineStr">
        <is>
          <t>2026-05-24</t>
        </is>
      </c>
      <c r="P30" s="6" t="inlineStr"/>
    </row>
    <row r="31" ht="40" customHeight="1">
      <c r="A31" s="2" t="inlineStr">
        <is>
          <t>ISSUE-030</t>
        </is>
      </c>
      <c r="B31" s="2" t="inlineStr">
        <is>
          <t>UR-006: 作業用 / 公開用 HTML の 2 層構造を URD に反映</t>
        </is>
      </c>
      <c r="C31" s="2"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2" t="inlineStr">
        <is>
          <t>改善</t>
        </is>
      </c>
      <c r="E31" s="5" t="inlineStr">
        <is>
          <t>低</t>
        </is>
      </c>
      <c r="F31" s="2" t="inlineStr">
        <is>
          <t>その他</t>
        </is>
      </c>
      <c r="G31" s="2" t="inlineStr"/>
      <c r="H31" s="2" t="inlineStr">
        <is>
          <t>2026-05-14</t>
        </is>
      </c>
      <c r="I31" s="2" t="inlineStr">
        <is>
          <t>URD</t>
        </is>
      </c>
      <c r="J31" s="2" t="inlineStr"/>
      <c r="K31" s="2" t="inlineStr">
        <is>
          <t>解決済</t>
        </is>
      </c>
      <c r="L31" s="2" t="inlineStr">
        <is>
          <t>Claude</t>
        </is>
      </c>
      <c r="M31" s="2" t="inlineStr">
        <is>
          <t>URD UR-006 の要件文または前提・制約に '作業用ビューア（山岳名入力・XLSX エクスポート）と公開用 HTML（閲覧専用）の 2 層構造' を反映する。</t>
        </is>
      </c>
      <c r="N31" s="2" t="inlineStr"/>
      <c r="O31" s="2" t="inlineStr">
        <is>
          <t>2026-05-23</t>
        </is>
      </c>
      <c r="P31" s="2" t="inlineStr">
        <is>
          <t>2026-05-23</t>
        </is>
      </c>
    </row>
    <row r="32" ht="40" customHeight="1">
      <c r="A32" s="6" t="inlineStr">
        <is>
          <t>ISSUE-031</t>
        </is>
      </c>
      <c r="B32" s="6" t="inlineStr">
        <is>
          <t>SRS: 各 UR に対する FR/NFR の対応漏れ調査と『対応 UR』記述の補完</t>
        </is>
      </c>
      <c r="C32" s="6"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6" t="inlineStr">
        <is>
          <t>調査</t>
        </is>
      </c>
      <c r="E32" s="3" t="inlineStr">
        <is>
          <t>高</t>
        </is>
      </c>
      <c r="F32" s="6" t="inlineStr">
        <is>
          <t>その他</t>
        </is>
      </c>
      <c r="G32" s="6" t="inlineStr"/>
      <c r="H32" s="6" t="inlineStr">
        <is>
          <t>2026-05-14</t>
        </is>
      </c>
      <c r="I32" s="6" t="inlineStr">
        <is>
          <t>SRS</t>
        </is>
      </c>
      <c r="J32" s="6" t="inlineStr">
        <is>
          <t>SRS</t>
        </is>
      </c>
      <c r="K32" s="6" t="inlineStr">
        <is>
          <t>未対応</t>
        </is>
      </c>
      <c r="L32" s="6" t="inlineStr"/>
      <c r="M32" s="6" t="inlineStr">
        <is>
          <t>(1) UR-001 〜 UR-010 を縦軸、現状の対応 FR/NFR を横軸に整理した一覧表を作成し漏れを抽出
(2) 漏れている対応関係を該当 FR / NFR の '対応 UR' フィールドに追記
(3) ISSUE-031（RTM）作成の前提データとして提供</t>
        </is>
      </c>
      <c r="N32" s="6" t="inlineStr">
        <is>
          <t>UR-009 削除・NFR-003 対応 UR を UR-004/005 に・NFR-007 対応 UR を UR-008 に振り替え済み（ISSUE-029 対応、2026-05-24）</t>
        </is>
      </c>
      <c r="O32" s="6" t="inlineStr"/>
      <c r="P32" s="6" t="inlineStr"/>
    </row>
    <row r="33" ht="40" customHeight="1">
      <c r="A33" s="7" t="inlineStr">
        <is>
          <t>ISSUE-032</t>
        </is>
      </c>
      <c r="B33" s="7" t="inlineStr">
        <is>
          <t>SRS: 要求トレーサビリティ・マトリックス（RTM）の追加</t>
        </is>
      </c>
      <c r="C33" s="7"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7" t="inlineStr">
        <is>
          <t>機能追加</t>
        </is>
      </c>
      <c r="E33" s="3" t="inlineStr">
        <is>
          <t>高</t>
        </is>
      </c>
      <c r="F33" s="7" t="inlineStr">
        <is>
          <t>その他</t>
        </is>
      </c>
      <c r="G33" s="7" t="inlineStr"/>
      <c r="H33" s="7" t="inlineStr">
        <is>
          <t>2026-05-14</t>
        </is>
      </c>
      <c r="I33" s="7" t="inlineStr">
        <is>
          <t>SRS</t>
        </is>
      </c>
      <c r="J33" s="7" t="inlineStr">
        <is>
          <t>SRS</t>
        </is>
      </c>
      <c r="K33" s="7" t="inlineStr">
        <is>
          <t>未対応</t>
        </is>
      </c>
      <c r="L33" s="7" t="inlineStr"/>
      <c r="M33" s="7"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N33" s="7" t="inlineStr"/>
      <c r="O33" s="7" t="inlineStr"/>
      <c r="P33" s="7" t="inlineStr"/>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c r="K34" s="2" t="inlineStr">
        <is>
          <t>解決済</t>
        </is>
      </c>
      <c r="L34" s="2" t="inlineStr"/>
      <c r="M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N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ADR-004（決定日 2026-05-18 追記）を参照。
関連 commit: 8f273a8（暫定・却下）→ 282f427（確定）</t>
        </is>
      </c>
      <c r="O34" s="2" t="inlineStr">
        <is>
          <t>2026-05-18</t>
        </is>
      </c>
      <c r="P34" s="2" t="inlineStr">
        <is>
          <t>2026-05-19</t>
        </is>
      </c>
    </row>
    <row r="35" ht="40" customHeight="1">
      <c r="A35" s="2" t="inlineStr">
        <is>
          <t>ISSUE-034</t>
        </is>
      </c>
      <c r="B35" s="2" t="inlineStr">
        <is>
          <t>tracker: ISSUE-018 の resolution 文を実装実態（案 B 採用）に合わせて更新</t>
        </is>
      </c>
      <c r="C35" s="2" t="inlineStr">
        <is>
          <t>ISSUE-018 の resolution 文に「案A（peak も dominant に昇格）または案B…から選定」と書かれているが、実装方針は案 B（peak 昇格なし）で確定済み（SRS L336 / ADR-008 L29）。後から履歴を辿る際の誤読防止のため、resolution 文を案 B 採用前提の記述に更新する。</t>
        </is>
      </c>
      <c r="D35" s="2" t="inlineStr">
        <is>
          <t>改善</t>
        </is>
      </c>
      <c r="E35" s="5" t="inlineStr">
        <is>
          <t>低</t>
        </is>
      </c>
      <c r="F35" s="2" t="inlineStr">
        <is>
          <t>その他</t>
        </is>
      </c>
      <c r="G35" s="2" t="inlineStr"/>
      <c r="H35" s="2" t="inlineStr">
        <is>
          <t>2026-05-17</t>
        </is>
      </c>
      <c r="I35" s="2" t="inlineStr"/>
      <c r="J35" s="2" t="inlineStr"/>
      <c r="K35" s="2" t="inlineStr">
        <is>
          <t>解決済</t>
        </is>
      </c>
      <c r="L35" s="2" t="inlineStr">
        <is>
          <t>Claude</t>
        </is>
      </c>
      <c r="M35" s="2" t="inlineStr">
        <is>
          <t>tracker のレコード編集機能で ISSUE-018 の resolution フィールドを書き換え、「案 B（peak.match_status は変更せず、summit.dominant_peak_code で紐付けのみ）を採用」と明記する。</t>
        </is>
      </c>
      <c r="N35" s="2" t="inlineStr"/>
      <c r="O35" s="2" t="inlineStr">
        <is>
          <t>2026-05-23</t>
        </is>
      </c>
      <c r="P35" s="2" t="inlineStr">
        <is>
          <t>2026-05-23</t>
        </is>
      </c>
    </row>
    <row r="36" ht="40" customHeight="1">
      <c r="A36" s="2" t="inlineStr">
        <is>
          <t>ISSUE-035</t>
        </is>
      </c>
      <c r="B36" s="2" t="inlineStr">
        <is>
          <t>SRS: 竹島除外方針の記述追加・ADR-009 リンク</t>
        </is>
      </c>
      <c r="C36" s="2" t="inlineStr">
        <is>
          <t>URD UR-001・ADR-009 に竹島除外方針を追加済み。SRS の前提・制約・スコープ外・FR-003 関連箇所に竹島の記述を追加し、ADR-009 へのリンクを貼る。北方領土の記述（ADR-005 参照）に準じた形で記載すること。</t>
        </is>
      </c>
      <c r="D36" s="2" t="inlineStr"/>
      <c r="E36" s="4" t="inlineStr">
        <is>
          <t>中</t>
        </is>
      </c>
      <c r="F36" s="2" t="inlineStr"/>
      <c r="G36" s="2" t="inlineStr"/>
      <c r="H36" s="2" t="inlineStr">
        <is>
          <t>2026-05-17</t>
        </is>
      </c>
      <c r="I36" s="2" t="inlineStr">
        <is>
          <t>SRS</t>
        </is>
      </c>
      <c r="J36" s="2" t="inlineStr"/>
      <c r="K36" s="2" t="inlineStr">
        <is>
          <t>解決済</t>
        </is>
      </c>
      <c r="L36" s="2" t="inlineStr">
        <is>
          <t>Claude</t>
        </is>
      </c>
      <c r="M36" s="2" t="inlineStr">
        <is>
          <t>北方領土の記述（ADR-005 参照）に準じて以下3箇所に竹島の記述を追加する:
(1) 8.前提・制約（877行目）: 北方領土の記述の直後に「竹島（島根県）が含まれるメッシュ 5531 は mesh_list_japan.txt から除外済み（ADR-009 参照）」を追加
(2) 9.スコープ外（892行目）: 北方領土の行の直後に「竹島に所在するピーク（韓国 SOTA サミット HL/GB-430 として登録済み。SOTA 日本支部の管轄外のため。除外方法は ADR-009 で規定）」を追加
(3) FR-003（202行目付近）: 北方領土タイル除外の記述の後に「竹島はメッシュ除外（ADR-009）で対応するため FR-003 での追加処理はない」旨を注記</t>
        </is>
      </c>
      <c r="N36" s="2" t="inlineStr"/>
      <c r="O36" s="2" t="inlineStr">
        <is>
          <t>2026-05-23</t>
        </is>
      </c>
      <c r="P36" s="2" t="inlineStr">
        <is>
          <t>2026-05-23</t>
        </is>
      </c>
    </row>
    <row r="37" ht="40" customHeight="1">
      <c r="A37" s="2" t="inlineStr">
        <is>
          <t>ISSUE-036</t>
        </is>
      </c>
      <c r="B37" s="2" t="inlineStr">
        <is>
          <t>COD: mesh_list_japan.txt からメッシュ 5531（竹島）を削除</t>
        </is>
      </c>
      <c r="C37" s="2" t="inlineStr">
        <is>
          <t>ADR-009 の決定に基づく実装。params/mesh_list_japan.txt から 5531 を1行削除する。竹島（HL/GB-430）は韓国 SOTA サミットであり SOTA 日本支部の管轄外。除外根拠: docs/decisions/ADR-009-takeshima-exclusion.md</t>
        </is>
      </c>
      <c r="D37" s="2" t="inlineStr"/>
      <c r="E37" s="4" t="inlineStr">
        <is>
          <t>中</t>
        </is>
      </c>
      <c r="F37" s="2" t="inlineStr"/>
      <c r="G37" s="2" t="inlineStr"/>
      <c r="H37" s="2" t="inlineStr">
        <is>
          <t>2026-05-17</t>
        </is>
      </c>
      <c r="I37" s="2" t="inlineStr">
        <is>
          <t>SRS</t>
        </is>
      </c>
      <c r="J37" s="2" t="inlineStr"/>
      <c r="K37" s="2" t="inlineStr">
        <is>
          <t>解決済</t>
        </is>
      </c>
      <c r="L37" s="2" t="inlineStr">
        <is>
          <t>Sonnet</t>
        </is>
      </c>
      <c r="M37" s="2" t="inlineStr">
        <is>
          <t>5531 を削除ではなくコメントアウト形式（# 5531 竹島のみのため除外（ADR-009））で除外。理由と根拠が履歴として残る。main.c は # 始まり行をスキップ済みのため動作上の変更なし。</t>
        </is>
      </c>
      <c r="N37" s="2" t="inlineStr"/>
      <c r="O37" s="2" t="inlineStr">
        <is>
          <t>2026-05-23</t>
        </is>
      </c>
      <c r="P37" s="2" t="inlineStr">
        <is>
          <t>2026-05-23</t>
        </is>
      </c>
    </row>
    <row r="38" ht="40" customHeight="1">
      <c r="A38" s="6" t="inlineStr">
        <is>
          <t>ISSUE-037</t>
        </is>
      </c>
      <c r="B38" s="6" t="inlineStr">
        <is>
          <t>ADR-010 Phase 1: ビルド基盤 + elevation.c の C++/OpenCV 化（標高値同値性検証含む）</t>
        </is>
      </c>
      <c r="C38" s="6" t="inlineStr">
        <is>
          <t>ADR-010（C++/OpenCV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ADR-010 docs/decisions/ADR-010-cpp-opencv-migration.md
- 検討資料 docs/decisions/research/cpp-opencv-migration-research.md（§3 同値性検証手順、§6 ビルド基盤変更）</t>
        </is>
      </c>
      <c r="D38" s="6" t="inlineStr">
        <is>
          <t>改善</t>
        </is>
      </c>
      <c r="E38" s="3" t="inlineStr">
        <is>
          <t>高</t>
        </is>
      </c>
      <c r="F38" s="6" t="inlineStr">
        <is>
          <t>解析エンジン</t>
        </is>
      </c>
      <c r="G38" s="6" t="inlineStr">
        <is>
          <t>JJ1XGO</t>
        </is>
      </c>
      <c r="H38" s="6" t="inlineStr">
        <is>
          <t>2026-05-17</t>
        </is>
      </c>
      <c r="I38" s="6" t="inlineStr">
        <is>
          <t>SRS</t>
        </is>
      </c>
      <c r="J38" s="6" t="inlineStr">
        <is>
          <t>LLD</t>
        </is>
      </c>
      <c r="K38" s="6" t="inlineStr">
        <is>
          <t>未対応</t>
        </is>
      </c>
      <c r="L38" s="6" t="inlineStr">
        <is>
          <t>Sonnet</t>
        </is>
      </c>
      <c r="M38" s="6" t="inlineStr"/>
      <c r="N38" s="6" t="inlineStr"/>
      <c r="O38" s="6" t="inlineStr"/>
      <c r="P38" s="6" t="inlineStr"/>
    </row>
    <row r="39" ht="40" customHeight="1">
      <c r="A39" s="7" t="inlineStr">
        <is>
          <t>ISSUE-038</t>
        </is>
      </c>
      <c r="B39" s="7" t="inlineStr">
        <is>
          <t>ADR-010 Phase 2: 残り src/ の C++ 翻訳（mesh / unionfind / analyze / mesh_analyze / main / tests）</t>
        </is>
      </c>
      <c r="C39" s="7" t="inlineStr">
        <is>
          <t>ADR-010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ADR-010 docs/decisions/ADR-010-cpp-opencv-migration.md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SRS</t>
        </is>
      </c>
      <c r="J39" s="7" t="inlineStr">
        <is>
          <t>LLD</t>
        </is>
      </c>
      <c r="K39" s="7" t="inlineStr">
        <is>
          <t>未対応</t>
        </is>
      </c>
      <c r="L39" s="7" t="inlineStr">
        <is>
          <t>Sonnet</t>
        </is>
      </c>
      <c r="M39" s="7" t="inlineStr"/>
      <c r="N39" s="7" t="inlineStr"/>
      <c r="O39" s="7" t="inlineStr"/>
      <c r="P39" s="7" t="inlineStr"/>
    </row>
    <row r="40" ht="40" customHeight="1">
      <c r="A40" s="6" t="inlineStr">
        <is>
          <t>ISSUE-039</t>
        </is>
      </c>
      <c r="B40" s="6" t="inlineStr">
        <is>
          <t>ADR-010 Phase 3: FR-015 標高地形図出力の OpenCV 化</t>
        </is>
      </c>
      <c r="C40" s="6" t="inlineStr">
        <is>
          <t>ADR-010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ADR-010 docs/decisions/ADR-010-cpp-opencv-migration.md
- SRS 6.7 標高地形図（Terrain-RGB PNG）</t>
        </is>
      </c>
      <c r="D40" s="6" t="inlineStr">
        <is>
          <t>改善</t>
        </is>
      </c>
      <c r="E40" s="4" t="inlineStr">
        <is>
          <t>中</t>
        </is>
      </c>
      <c r="F40" s="6" t="inlineStr">
        <is>
          <t>解析エンジン</t>
        </is>
      </c>
      <c r="G40" s="6" t="inlineStr">
        <is>
          <t>JJ1XGO</t>
        </is>
      </c>
      <c r="H40" s="6" t="inlineStr">
        <is>
          <t>2026-05-17</t>
        </is>
      </c>
      <c r="I40" s="6" t="inlineStr">
        <is>
          <t>SRS</t>
        </is>
      </c>
      <c r="J40" s="6" t="inlineStr">
        <is>
          <t>LLD</t>
        </is>
      </c>
      <c r="K40" s="6" t="inlineStr">
        <is>
          <t>未対応</t>
        </is>
      </c>
      <c r="L40" s="6" t="inlineStr">
        <is>
          <t>Sonnet</t>
        </is>
      </c>
      <c r="M40" s="6" t="inlineStr"/>
      <c r="N40" s="6" t="inlineStr"/>
      <c r="O40" s="6" t="inlineStr"/>
      <c r="P40" s="6" t="inlineStr"/>
    </row>
    <row r="41" ht="40" customHeight="1">
      <c r="A41" s="7" t="inlineStr">
        <is>
          <t>ISSUE-040</t>
        </is>
      </c>
      <c r="B41" s="7" t="inlineStr">
        <is>
          <t>ADR-010 Phase 4: FR-016 アクティベーションゾーン計算（C++/OpenCV 新規実装）</t>
        </is>
      </c>
      <c r="C41" s="7" t="inlineStr">
        <is>
          <t>ADR-010 Phase 4: FR-016（ピーク域ポリゴン計算）を C++ + OpenCV で新規実装する。AZ ポリゴンと delete判定ゾーンポリゴン（ADR-011）の 2 種類を per-mesh GeoJSON に出力する。詳細は notes 欄参照。</t>
        </is>
      </c>
      <c r="D41" s="7" t="inlineStr">
        <is>
          <t>機能追加</t>
        </is>
      </c>
      <c r="E41" s="3" t="inlineStr">
        <is>
          <t>高</t>
        </is>
      </c>
      <c r="F41" s="7" t="inlineStr">
        <is>
          <t>解析エンジン</t>
        </is>
      </c>
      <c r="G41" s="7" t="inlineStr">
        <is>
          <t>JJ1XGO</t>
        </is>
      </c>
      <c r="H41" s="7" t="inlineStr">
        <is>
          <t>2026-05-17</t>
        </is>
      </c>
      <c r="I41" s="7" t="inlineStr">
        <is>
          <t>SRS</t>
        </is>
      </c>
      <c r="J41" s="7" t="inlineStr">
        <is>
          <t>LLD</t>
        </is>
      </c>
      <c r="K41" s="7" t="inlineStr">
        <is>
          <t>未対応</t>
        </is>
      </c>
      <c r="L41" s="7" t="inlineStr">
        <is>
          <t>Sonnet</t>
        </is>
      </c>
      <c r="M41" s="7" t="inlineStr"/>
      <c r="N41" s="7" t="inlineStr">
        <is>
          <t>【ADR-011 適用 2026-05-21】仕様を delete判定ゾーン方式に更新。
【作業範囲】
- ピーク位置を起点とした cv::floodFill で標高差 25m 以内の連続領域（AZ）を抽出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Flood Fill が解析対象メッシュ地理的範囲内で完結→ area_complete=true、範囲外で途切れ→ false
- 同じ Flood Fill を max(col_elev, peak_elev - delete_zone_max_drop) 閾値で再実行して delete判定ゾーンポリゴンを生成
  - key_col_resolved=false（col_elev 未確定）でも peak_elev - delete_zone_max_drop を閾値として生成可能
- per-mesh GeoJSON ファイル &lt;meshcode&gt;_activation.geojson を出力
  - feature_type: 'activation_zone' または 'delete_zone'
  - delete_zone_max_drop は params/config.ini から読み込み（値 250m、ADR-011 で実測確定）
【新規モジュール】
- src/activation.cpp / activation.h（Flood Fill 呼び出し + 輪郭抽出 + GeoJSON シリアライズ）
- mesh_analyze.cpp の CSV 出力ループ内から呼び出し
【検証ポイント】
- per-mesh &lt;meshcode&gt;_activation.geojson が生成される（AZ + delete判定ゾーンの2種類）
- 地理院地図上に重ねて目視確認（AZ は 25m 連続、delete判定ゾーンはプロミネンス連動 + 250m キャップ）
- area_complete フラグが解析範囲端のケースで正しく付与される
- 独立峰（プロミネンス &gt;&gt; 250m）でも delete判定ゾーンが 3×3 メッシュで完結する
- key_col_resolved=false のピークでも delete判定ゾーンが生成される
【参照】
- ADR-010 docs/decisions/ADR-010-cpp-opencv-migration.md
- ADR-011 docs/decisions/ADR-011-delete-zone-polygon.md（新仕様）
- SRS FR-016 docs/02_SRS.md
- SRS 6.8 中間ファイル: メッシュ別ピーク域 GeoJSON
【Opus相談推奨】OpenCV実装の細部設計・メモリ最適化・エッジケース整理に深い設計判断が必要。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area_complete 判定の正確な定義（'メッシュ地理範囲外' = フリンジ含むか含まないか、1px海面ボーダーの扱い）
(4) ピーク座標がメッシュ境界に近い場合の Flood Fill 挙動（隣接メッシュの標高データを参照すべきか）
(5) ピーク数百件 × 2 種類ポリゴン（AZ + delete判定ゾーン）の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O41" s="7" t="inlineStr"/>
      <c r="P41" s="7" t="inlineStr"/>
    </row>
    <row r="42" ht="40" customHeight="1">
      <c r="A42" s="6" t="inlineStr">
        <is>
          <t>ISSUE-041</t>
        </is>
      </c>
      <c r="B42" s="6" t="inlineStr">
        <is>
          <t>実装側のフラグ命名追従（is_tile_top → key_col_resolved + 真偽値反転）</t>
        </is>
      </c>
      <c r="C42" s="6"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6" t="inlineStr">
        <is>
          <t>改善</t>
        </is>
      </c>
      <c r="E42" s="4" t="inlineStr">
        <is>
          <t>中</t>
        </is>
      </c>
      <c r="F42" s="6" t="inlineStr">
        <is>
          <t>その他</t>
        </is>
      </c>
      <c r="G42" s="6" t="inlineStr"/>
      <c r="H42" s="6" t="inlineStr">
        <is>
          <t>2026-05-19</t>
        </is>
      </c>
      <c r="I42" s="6" t="inlineStr">
        <is>
          <t>SRS</t>
        </is>
      </c>
      <c r="J42" s="6" t="inlineStr">
        <is>
          <t>COD</t>
        </is>
      </c>
      <c r="K42" s="6" t="inlineStr">
        <is>
          <t>未対応</t>
        </is>
      </c>
      <c r="L42" s="6" t="inlineStr">
        <is>
          <t>Sonnet</t>
        </is>
      </c>
      <c r="M42" s="6" t="inlineStr"/>
      <c r="N42" s="6"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(ADR-010 Phase 1): elevation.c の C++/OpenCV 化
- ISSUE-038 (ADR-010 Phase 2): 残り src/ の C++ 翻訳
- ISSUE-040 (ADR-010 Phase 4): FR-016 (area_complete を含む) C++ 新規実装</t>
        </is>
      </c>
      <c r="O42" s="6" t="inlineStr"/>
      <c r="P42" s="6" t="inlineStr"/>
    </row>
    <row r="43" ht="40" customHeight="1">
      <c r="A43" s="7" t="inlineStr">
        <is>
          <t>ISSUE-042</t>
        </is>
      </c>
      <c r="B43" s="7" t="inlineStr">
        <is>
          <t>メッシュ範囲指定引数の共通化（merge.py / findsummits / その他）</t>
        </is>
      </c>
      <c r="C43" s="7" t="inlineStr">
        <is>
          <t>現状、メッシュ範囲指定の引数仕様が機能ごとに異なる:
- findsummits: 1次メッシュコード または メッシュリストファイル
- merge.py: メッシュコードリスト（オプション。FR-008/FR-009/FR-010 で参照）
- prefetch_tiles.py: 別仕様
- run_all.sh: 別仕様
機能間で「メッシュ範囲を渡したり渡さなかったりする」状態。引数フォーマット・受け渡し方法を統一して、コマンドラインから一貫した形でメッシュ範囲を指定できるようにする。
関連: ISSUE-019（仮サミットコード採番タイミング）で「メッシュ範囲指定の有無に関わらず常に全件再採番」と統一した際の前提となるユーザー要望。</t>
        </is>
      </c>
      <c r="D43" s="7" t="inlineStr">
        <is>
          <t>改善</t>
        </is>
      </c>
      <c r="E43" s="4" t="inlineStr">
        <is>
          <t>中</t>
        </is>
      </c>
      <c r="F43" s="7" t="inlineStr">
        <is>
          <t>その他</t>
        </is>
      </c>
      <c r="G43" s="7" t="inlineStr">
        <is>
          <t>ユーザー</t>
        </is>
      </c>
      <c r="H43" s="7" t="inlineStr">
        <is>
          <t>2026-05-20</t>
        </is>
      </c>
      <c r="I43" s="7" t="inlineStr">
        <is>
          <t>SRS</t>
        </is>
      </c>
      <c r="J43" s="7" t="inlineStr">
        <is>
          <t>HLD</t>
        </is>
      </c>
      <c r="K43" s="7" t="inlineStr">
        <is>
          <t>未対応</t>
        </is>
      </c>
      <c r="L43" s="7" t="inlineStr"/>
      <c r="M43" s="7" t="inlineStr"/>
      <c r="N43" s="7" t="inlineStr">
        <is>
          <t>ISSUE-019 のクローズ時にユーザーから登録要望が出た案件。</t>
        </is>
      </c>
      <c r="O43" s="7" t="inlineStr"/>
      <c r="P43" s="7" t="inlineStr"/>
    </row>
    <row r="44" ht="40" customHeight="1">
      <c r="A44" s="6" t="inlineStr">
        <is>
          <t>ISSUE-043</t>
        </is>
      </c>
      <c r="B44" s="6" t="inlineStr">
        <is>
          <t>merge.py: delete判定ゾーン対応（AZ/delete-zone PIP、不備フラグ列、exit code、dominant 改名）</t>
        </is>
      </c>
      <c r="C44" s="6" t="inlineStr">
        <is>
          <t>ADR-011（delete判定ゾーンポリゴン）採用に伴う merge.py の改修。SRS FR-009 / ADR-007 / ADR-008 / ADR-011 の仕様を実装に反映する。</t>
        </is>
      </c>
      <c r="D44" s="6" t="inlineStr">
        <is>
          <t>改善</t>
        </is>
      </c>
      <c r="E44" s="3" t="inlineStr">
        <is>
          <t>高</t>
        </is>
      </c>
      <c r="F44" s="6" t="inlineStr">
        <is>
          <t>merge.py</t>
        </is>
      </c>
      <c r="G44" s="6" t="inlineStr">
        <is>
          <t>JJ1XGO</t>
        </is>
      </c>
      <c r="H44" s="6" t="inlineStr">
        <is>
          <t>2026-05-21</t>
        </is>
      </c>
      <c r="I44" s="6" t="inlineStr">
        <is>
          <t>SRS</t>
        </is>
      </c>
      <c r="J44" s="6" t="inlineStr">
        <is>
          <t>LLD</t>
        </is>
      </c>
      <c r="K44" s="6" t="inlineStr">
        <is>
          <t>未対応</t>
        </is>
      </c>
      <c r="L44" s="6" t="inlineStr"/>
      <c r="M44" s="6" t="inlineStr"/>
      <c r="N44" s="6" t="inlineStr">
        <is>
          <t>【2026-05-22 追記】merge.py 改修スコープに以下を追加: points/sota_points/is_band_change_candidate 列の計算・追加（FR-009 変更申請判定セクション参照）。バンド定義は GLOSSARY 標高バンド（Points 算出表）に従う。peak_elev は切り捨て（floor）した整数 m でバンド判定（例: 1499.5m → 1499m → 8pt）、sota_alt_m はそのまま判定。
【2026-05-23 補正】merge.py の出力は merged.csv（ピーク台帳・ステータス・不備フラグ）と merged_activation.geojson（AZ・delete判定ゾーンポリゴンの per-mesh 統合）の2系統（SRS FR-018 参照）。AZ/delete-zone PIP 判定の素材は per-mesh activation GeoJSON。不備フラグ・exit code 判定は merged.csv 側で完結する。</t>
        </is>
      </c>
      <c r="O44" s="6" t="inlineStr"/>
      <c r="P44" s="6" t="inlineStr"/>
    </row>
    <row r="45" ht="40" customHeight="1">
      <c r="A45" s="7" t="inlineStr">
        <is>
          <t>ISSUE-044</t>
        </is>
      </c>
      <c r="B45" s="7" t="inlineStr">
        <is>
          <t>output_geojson.py: delete判定ゾーン対応 + merged_viewer.html 実装</t>
        </is>
      </c>
      <c r="C45" s="7" t="inlineStr">
        <is>
          <t>ADR-011 採用に伴う output_geojson.py の改修と、SRS FR-013 で要求済みだが未実装の merged_viewer.html 出力を追加する。</t>
        </is>
      </c>
      <c r="D45" s="7" t="inlineStr">
        <is>
          <t>機能追加</t>
        </is>
      </c>
      <c r="E45" s="3" t="inlineStr">
        <is>
          <t>高</t>
        </is>
      </c>
      <c r="F45" s="7" t="inlineStr">
        <is>
          <t>GeoJSON出力</t>
        </is>
      </c>
      <c r="G45" s="7" t="inlineStr">
        <is>
          <t>JJ1XGO</t>
        </is>
      </c>
      <c r="H45" s="7" t="inlineStr">
        <is>
          <t>2026-05-21</t>
        </is>
      </c>
      <c r="I45" s="7" t="inlineStr">
        <is>
          <t>SRS</t>
        </is>
      </c>
      <c r="J45" s="7" t="inlineStr">
        <is>
          <t>LLD</t>
        </is>
      </c>
      <c r="K45" s="7" t="inlineStr">
        <is>
          <t>未対応</t>
        </is>
      </c>
      <c r="L45" s="7" t="inlineStr"/>
      <c r="M45" s="7" t="inlineStr"/>
      <c r="N45" s="7" t="inlineStr">
        <is>
          <t>【2026-05-22 追記】output_geojson.py + merged_viewer.html 改修スコープに以下を追加: (1) 名称修正 UI 廃止（matched ピークの入力フィールドを削除）。(2) 変更行自動エクスポート（is_band_change_candidate=true の matched ピークを申請書の変更行として自動生成、FR-011 ※5フォーマット準拠）。
【2026-05-23 補正】output_geojson.py の入力は merged.csv + merged_activation.geojson の2系統（SRS FR-013 参照）。ポリゴン情報（AZ・delete判定ゾーン）は merged_activation.geojson から取り込む。出力は merged.geojson（Point + LineString + Polygon の可視化集約）と merged_viewer.html。</t>
        </is>
      </c>
      <c r="O45" s="7" t="inlineStr"/>
      <c r="P45" s="7" t="inlineStr"/>
    </row>
    <row r="46" ht="40" customHeight="1">
      <c r="A46" s="6" t="inlineStr">
        <is>
          <t>ISSUE-045</t>
        </is>
      </c>
      <c r="B46" s="6" t="inlineStr">
        <is>
          <t>params/config.ini.example: delete_zone_max_drop = 250 パラメータ追加</t>
        </is>
      </c>
      <c r="C46" s="6" t="inlineStr">
        <is>
          <t>ADR-011 で確定した delete_zone_max_drop（実測値 250m）を config.ini.example に記載し、ユーザー環境への展開を可能にする。</t>
        </is>
      </c>
      <c r="D46" s="6" t="inlineStr">
        <is>
          <t>改善</t>
        </is>
      </c>
      <c r="E46" s="4" t="inlineStr">
        <is>
          <t>中</t>
        </is>
      </c>
      <c r="F46" s="6" t="inlineStr">
        <is>
          <t>設定</t>
        </is>
      </c>
      <c r="G46" s="6" t="inlineStr">
        <is>
          <t>JJ1XGO</t>
        </is>
      </c>
      <c r="H46" s="6" t="inlineStr">
        <is>
          <t>2026-05-21</t>
        </is>
      </c>
      <c r="I46" s="6" t="inlineStr">
        <is>
          <t>SRS</t>
        </is>
      </c>
      <c r="J46" s="6" t="inlineStr">
        <is>
          <t>COD</t>
        </is>
      </c>
      <c r="K46" s="6" t="inlineStr">
        <is>
          <t>未対応</t>
        </is>
      </c>
      <c r="L46" s="6" t="inlineStr"/>
      <c r="M46" s="6" t="inlineStr"/>
      <c r="N46" s="6" t="inlineStr">
        <is>
          <t>【作業範囲】
- params/config.ini.example の [analysis] セクション（または相当箇所）に delete_zone_max_drop = 250 を追加
- 値の根拠コメントとして ADR-011 を参照
- 既存のローカル params/config.ini（gitignore）は手動で同期する旨をユーザーに通知
【参照】
- ADR docs/decisions/ADR-011-delete-zone-polygon.md
- SRS FR-016
【元 ISSUE】ISSUE-020 から分離</t>
        </is>
      </c>
      <c r="O46" s="6" t="inlineStr"/>
      <c r="P46" s="6" t="inlineStr"/>
    </row>
    <row r="47" ht="40" customHeight="1">
      <c r="A47" s="2" t="inlineStr">
        <is>
          <t>ISSUE-046</t>
        </is>
      </c>
      <c r="B47" s="2" t="inlineStr">
        <is>
          <t>SRS: 変更申請判定を Points バンド遷移基準に変更（URD/SRS/GLOSSARY 改訂）</t>
        </is>
      </c>
      <c r="C47" s="2" t="inlineStr">
        <is>
          <t>SOTA 申請「変更」の定義を「山岳名の変更」から「matched ペアで Points バンドをまたぐ標高差があるケース（is_band_change_candidate=true）」に再定義。山岳名変更は申請対象外（ピーク解析と無関係）。URD UR-003・6.スコープ外、SRS FR-007/009/011/012/013・9.スコープ外、GLOSSARY（標高バンド表追加）、ref/SOURCES.md を改訂。ISSUE-025（標高バンド境界値の規定）を本タスクに統合。</t>
        </is>
      </c>
      <c r="D47" s="2" t="inlineStr">
        <is>
          <t>設計</t>
        </is>
      </c>
      <c r="E47" s="3" t="inlineStr">
        <is>
          <t>高</t>
        </is>
      </c>
      <c r="F47" s="2" t="inlineStr">
        <is>
          <t>その他</t>
        </is>
      </c>
      <c r="G47" s="2" t="inlineStr">
        <is>
          <t>JJ1XGO</t>
        </is>
      </c>
      <c r="H47" s="2" t="inlineStr">
        <is>
          <t>2026-05-22</t>
        </is>
      </c>
      <c r="I47" s="2" t="inlineStr">
        <is>
          <t>SRS</t>
        </is>
      </c>
      <c r="J47" s="2" t="inlineStr"/>
      <c r="K47" s="2" t="inlineStr">
        <is>
          <t>解決済</t>
        </is>
      </c>
      <c r="L47" s="2" t="inlineStr"/>
      <c r="M47" s="2" t="inlineStr"/>
      <c r="N47" s="2" t="inlineStr"/>
      <c r="O47" s="2" t="inlineStr">
        <is>
          <t>2026-05-22</t>
        </is>
      </c>
      <c r="P47" s="2" t="inlineStr">
        <is>
          <t>2026-05-22</t>
        </is>
      </c>
    </row>
    <row r="48" ht="40" customHeight="1">
      <c r="A48" s="2" t="inlineStr">
        <is>
          <t>ISSUE-047</t>
        </is>
      </c>
      <c r="B48" s="2" t="inlineStr">
        <is>
          <t>SRS フェーズ1機能関連図：FR-002/003 を FR-001 の箱から除去</t>
        </is>
      </c>
      <c r="C48" s="2" t="inlineStr">
        <is>
          <t>phase1.drawio で FR-002（DEM 階層フォールバック）と FR-003（標高デコード・NODATA 処理）を FR-001 の箱の中に描いていたが、両者はフェーズ2の処理と判断し SRS を修正済み。drawio 上の図もこれに合わせて修正する必要がある。</t>
        </is>
      </c>
      <c r="D48" s="2" t="inlineStr">
        <is>
          <t>改善</t>
        </is>
      </c>
      <c r="E48" s="4" t="inlineStr">
        <is>
          <t>中</t>
        </is>
      </c>
      <c r="F48" s="2" t="inlineStr">
        <is>
          <t>その他</t>
        </is>
      </c>
      <c r="G48" s="2" t="inlineStr"/>
      <c r="H48" s="2" t="inlineStr">
        <is>
          <t>2026-05-22</t>
        </is>
      </c>
      <c r="I48" s="2" t="inlineStr">
        <is>
          <t>SRS</t>
        </is>
      </c>
      <c r="J48" s="2" t="inlineStr"/>
      <c r="K48" s="2" t="inlineStr">
        <is>
          <t>解決済</t>
        </is>
      </c>
      <c r="L48" s="2" t="inlineStr"/>
      <c r="M48" s="2" t="inlineStr">
        <is>
          <t>drawio で FR-002/FR-003 のボックスを FR-001 の外に移動し、SVG を再エクスポートして docs/figures/ を更新する</t>
        </is>
      </c>
      <c r="N48" s="2" t="inlineStr"/>
      <c r="O48" s="2" t="inlineStr">
        <is>
          <t>2026-05-22</t>
        </is>
      </c>
      <c r="P48" s="2" t="inlineStr">
        <is>
          <t>2026-05-22</t>
        </is>
      </c>
    </row>
    <row r="49" ht="40" customHeight="1">
      <c r="A49" s="2" t="inlineStr">
        <is>
          <t>ISSUE-048</t>
        </is>
      </c>
      <c r="B49" s="2" t="inlineStr">
        <is>
          <t>SRS 3.1 システムコンテキスト図の新規作成</t>
        </is>
      </c>
      <c r="C49" s="2" t="inlineStr">
        <is>
          <t>SRS 3章「3.1 システムコンテキスト」にコンテキスト図（外部アクター・データソース・成果物の境界図）を追加する。現在はプレースホルダー注記のみ。外部要素: 国土地理院標高タイル / 国土交通省N03 / SOTA summitslist.csv / 申請担当者 / SOTA日本支部マネージャ。成果物: 申請書XLSX / エビデンスCSV / 証跡GeoJSON。</t>
        </is>
      </c>
      <c r="D49" s="2" t="inlineStr">
        <is>
          <t>機能追加</t>
        </is>
      </c>
      <c r="E49" s="4" t="inlineStr">
        <is>
          <t>中</t>
        </is>
      </c>
      <c r="F49" s="2" t="inlineStr">
        <is>
          <t>その他</t>
        </is>
      </c>
      <c r="G49" s="2" t="inlineStr"/>
      <c r="H49" s="2" t="inlineStr">
        <is>
          <t>2026-05-22</t>
        </is>
      </c>
      <c r="I49" s="2" t="inlineStr">
        <is>
          <t>SRS</t>
        </is>
      </c>
      <c r="J49" s="2" t="inlineStr"/>
      <c r="K49" s="2" t="inlineStr">
        <is>
          <t>解決済</t>
        </is>
      </c>
      <c r="L49" s="2" t="inlineStr"/>
      <c r="M49" s="2" t="inlineStr">
        <is>
          <t>drawio でコンテキスト図を作成し、docs/figures/context.drawio.svg として保存。SRS 3.1 のプレースホルダーを図参照に置き換えてコミット</t>
        </is>
      </c>
      <c r="N49" s="2" t="inlineStr"/>
      <c r="O49" s="2" t="inlineStr">
        <is>
          <t>2026-05-22</t>
        </is>
      </c>
      <c r="P49" s="2" t="inlineStr">
        <is>
          <t>2026-05-22</t>
        </is>
      </c>
    </row>
    <row r="50" ht="40" customHeight="1">
      <c r="A50" s="2" t="inlineStr">
        <is>
          <t>ISSUE-049</t>
        </is>
      </c>
      <c r="B50" s="2" t="inlineStr">
        <is>
          <t>SRS 3.3 フェーズ俯瞰図の新規作成</t>
        </is>
      </c>
      <c r="C50" s="2" t="inlineStr">
        <is>
          <t>SRS 3章「3.3 フェーズ分割の俯瞰」にフェーズ俯瞰図（フェーズ1〜4の関係性を示す図）を追加する。現在はプレースホルダー注記とテキストフローのみ。各フェーズの入出力ファイルと依存関係を視覚化する。</t>
        </is>
      </c>
      <c r="D50" s="2" t="inlineStr">
        <is>
          <t>機能追加</t>
        </is>
      </c>
      <c r="E50" s="5" t="inlineStr">
        <is>
          <t>低</t>
        </is>
      </c>
      <c r="F50" s="2" t="inlineStr">
        <is>
          <t>その他</t>
        </is>
      </c>
      <c r="G50" s="2" t="inlineStr"/>
      <c r="H50" s="2" t="inlineStr">
        <is>
          <t>2026-05-22</t>
        </is>
      </c>
      <c r="I50" s="2" t="inlineStr">
        <is>
          <t>SRS</t>
        </is>
      </c>
      <c r="J50" s="2" t="inlineStr"/>
      <c r="K50" s="2" t="inlineStr">
        <is>
          <t>解決済</t>
        </is>
      </c>
      <c r="L50" s="2" t="inlineStr"/>
      <c r="M50" s="2" t="inlineStr">
        <is>
          <t>drawio でフェーズ俯瞰図を作成し、docs/figures/phases_overview.drawio.svg として保存。SRS 3.3 のプレースホルダーを図参照に置き換えてコミット</t>
        </is>
      </c>
      <c r="N50" s="2" t="inlineStr"/>
      <c r="O50" s="2" t="inlineStr">
        <is>
          <t>2026-05-22</t>
        </is>
      </c>
      <c r="P50" s="2" t="inlineStr">
        <is>
          <t>2026-05-22</t>
        </is>
      </c>
    </row>
    <row r="51" ht="40" customHeight="1">
      <c r="A51" s="2" t="inlineStr">
        <is>
          <t>ISSUE-050</t>
        </is>
      </c>
      <c r="B51" s="2" t="inlineStr">
        <is>
          <t>SRS フェーズ2/3/3.5/4 機能関連図の新規作成</t>
        </is>
      </c>
      <c r="C51" s="2" t="inlineStr">
        <is>
          <t>SRS 4章の各フェーズ節冒頭に機能関連図を追加する。フェーズ2（ピーク解析: FR-002/003/004/005/006/007/015/016）、フェーズ3（ピーク統合: FR-008/018）、フェーズ3.5（独立峰対応: FR-014）、フェーズ4（突合・出力: FR-009/010/011/012/013）の各図。フェーズ1機能関連図（phase1.drawio.svg）を参考に作成する。</t>
        </is>
      </c>
      <c r="D51" s="2" t="inlineStr">
        <is>
          <t>機能追加</t>
        </is>
      </c>
      <c r="E51" s="5" t="inlineStr">
        <is>
          <t>低</t>
        </is>
      </c>
      <c r="F51" s="2" t="inlineStr">
        <is>
          <t>その他</t>
        </is>
      </c>
      <c r="G51" s="2" t="inlineStr">
        <is>
          <t>Claude</t>
        </is>
      </c>
      <c r="H51" s="2" t="inlineStr">
        <is>
          <t>2026-05-22</t>
        </is>
      </c>
      <c r="I51" s="2" t="inlineStr">
        <is>
          <t>SRS</t>
        </is>
      </c>
      <c r="J51" s="2" t="inlineStr"/>
      <c r="K51" s="2" t="inlineStr">
        <is>
          <t>解決済</t>
        </is>
      </c>
      <c r="L51" s="2" t="inlineStr">
        <is>
          <t>JJ1XGO</t>
        </is>
      </c>
      <c r="M51" s="2" t="inlineStr">
        <is>
          <t>drawio で各フェーズの機能関連図を作成し、docs/figures/phase2.drawio.svg 等として保存。SRS の各フェーズ節冒頭に図参照を追加してコミット</t>
        </is>
      </c>
      <c r="N51" s="2" t="inlineStr">
        <is>
          <t>【本日の決定事項】フェーズ別機能関連図（phase2〜4）の個別作成は中止し、phases_overview.drawio.svg（フェーズ俯瞰図）で代替する方針を確定。フェーズ1の機能関連図（phase1.drawio.svg）もSRSの参照削除済み（commit 12e2a45）のうえファイル削除。俯瞰図はフェーズ3出力ラベルをmerged_activation.geojsonに修正（SRS FR-018と整合）し、誤字「見つらない→見つからない」も修正してcommit ca09554でコミット済み。</t>
        </is>
      </c>
      <c r="O51" s="2" t="inlineStr">
        <is>
          <t>2026-05-23</t>
        </is>
      </c>
      <c r="P51" s="2" t="inlineStr">
        <is>
          <t>2026-05-23</t>
        </is>
      </c>
    </row>
    <row r="52" ht="40" customHeight="1">
      <c r="A52" s="6" t="inlineStr">
        <is>
          <t>ISSUE-051</t>
        </is>
      </c>
      <c r="B52" s="6" t="inlineStr">
        <is>
          <t>SRS フェーズ3.5: area_complete=false トリガー外しの重複記述整理</t>
        </is>
      </c>
      <c r="C52" s="6" t="inlineStr">
        <is>
          <t>SRS フェーズ3.5 セクション冒頭と FR-014 トリガー条件で area_complete=false トリガー対象外の説明が2箇所に重複している。整理して片方に集約することで保守性を上げる。対象: L327-330 周辺と L336-338 周辺。</t>
        </is>
      </c>
      <c r="D52" s="6" t="inlineStr">
        <is>
          <t>改善</t>
        </is>
      </c>
      <c r="E52" s="5" t="inlineStr">
        <is>
          <t>低</t>
        </is>
      </c>
      <c r="F52" s="6" t="inlineStr"/>
      <c r="G52" s="6" t="inlineStr"/>
      <c r="H52" s="6" t="inlineStr">
        <is>
          <t>2026-05-23</t>
        </is>
      </c>
      <c r="I52" s="6" t="inlineStr">
        <is>
          <t>SRS</t>
        </is>
      </c>
      <c r="J52" s="6" t="inlineStr">
        <is>
          <t>SRS</t>
        </is>
      </c>
      <c r="K52" s="6" t="inlineStr">
        <is>
          <t>未対応</t>
        </is>
      </c>
      <c r="L52" s="6" t="inlineStr"/>
      <c r="M52" s="6" t="inlineStr"/>
      <c r="N52" s="6" t="inlineStr"/>
      <c r="O52" s="6" t="inlineStr"/>
      <c r="P52" s="6" t="inlineStr"/>
    </row>
    <row r="53" ht="40" customHeight="1">
      <c r="A53" s="7" t="inlineStr">
        <is>
          <t>ISSUE-052</t>
        </is>
      </c>
      <c r="B53" s="7" t="inlineStr">
        <is>
          <t>SRS FR-014: key_col_resolved=false と独立峰の対応関係を明示</t>
        </is>
      </c>
      <c r="C53" s="7" t="inlineStr">
        <is>
          <t>SRS FR-014 のトリガー条件周辺（L335-336 周辺）に「key_col_resolved=false = Key コルが 3×3 解析範囲外にある独立峰」という対応関係を注記として追加する。読者がコンテキストなしでトリガー条件の意味を理解できるようにする。</t>
        </is>
      </c>
      <c r="D53" s="7" t="inlineStr">
        <is>
          <t>改善</t>
        </is>
      </c>
      <c r="E53" s="5" t="inlineStr">
        <is>
          <t>低</t>
        </is>
      </c>
      <c r="F53" s="7" t="inlineStr"/>
      <c r="G53" s="7" t="inlineStr"/>
      <c r="H53" s="7" t="inlineStr">
        <is>
          <t>2026-05-23</t>
        </is>
      </c>
      <c r="I53" s="7" t="inlineStr">
        <is>
          <t>SRS</t>
        </is>
      </c>
      <c r="J53" s="7" t="inlineStr">
        <is>
          <t>SRS</t>
        </is>
      </c>
      <c r="K53" s="7" t="inlineStr">
        <is>
          <t>未対応</t>
        </is>
      </c>
      <c r="L53" s="7" t="inlineStr"/>
      <c r="M53" s="7" t="inlineStr"/>
      <c r="N53" s="7" t="inlineStr"/>
      <c r="O53" s="7" t="inlineStr"/>
      <c r="P53" s="7" t="inlineStr"/>
    </row>
    <row r="54" ht="40" customHeight="1">
      <c r="A54" s="6" t="inlineStr">
        <is>
          <t>ISSUE-053</t>
        </is>
      </c>
      <c r="B54" s="6" t="inlineStr">
        <is>
          <t>docs/figures/context.drawio: ラベル大文字統一（xlsx→XLSX、csv→CSV）</t>
        </is>
      </c>
      <c r="C54" s="6" t="inlineStr">
        <is>
          <t>context.drawio 内のラベル表記ゆらぎを修正。「申請書 xlsx」→「申請書 XLSX」、「エビデンス csv」→「エビデンス CSV」に統一する。SVG エクスポートはユーザーが draw.io で対応。</t>
        </is>
      </c>
      <c r="D54" s="6" t="inlineStr">
        <is>
          <t>改善</t>
        </is>
      </c>
      <c r="E54" s="5" t="inlineStr">
        <is>
          <t>低</t>
        </is>
      </c>
      <c r="F54" s="6" t="inlineStr"/>
      <c r="G54" s="6" t="inlineStr"/>
      <c r="H54" s="6" t="inlineStr">
        <is>
          <t>2026-05-23</t>
        </is>
      </c>
      <c r="I54" s="6" t="inlineStr">
        <is>
          <t>SRS</t>
        </is>
      </c>
      <c r="J54" s="6" t="inlineStr">
        <is>
          <t>SRS</t>
        </is>
      </c>
      <c r="K54" s="6" t="inlineStr">
        <is>
          <t>未対応</t>
        </is>
      </c>
      <c r="L54" s="6" t="inlineStr"/>
      <c r="M54" s="6" t="inlineStr"/>
      <c r="N54" s="6" t="inlineStr"/>
      <c r="O54" s="6" t="inlineStr"/>
      <c r="P54" s="6" t="inlineStr"/>
    </row>
    <row r="55" ht="40" customHeight="1">
      <c r="A55" s="7" t="inlineStr">
        <is>
          <t>ISSUE-054</t>
        </is>
      </c>
      <c r="B55" s="7" t="inlineStr">
        <is>
          <t>モックアップ: 陸地最高峰ピークの専用表示追加</t>
        </is>
      </c>
      <c r="C55" s="7" t="inlineStr">
        <is>
          <t>viewer_mockup.html の対象ピーク表示において、key_col_resolved=false（広域再解析でも親ピークが見つからないピーク）に対して「陸地最高峰」（島嶼部の場合は「島嶼部最高峰」）であることが視認できる表示を追加する。
## 背景
- ADR-008 / ADR-011 で「陸地最高峰」「島嶼部最高峰」が key_col_resolved=false のケースとして定義済み
- このようなピークはプロミネンス = 標高となり、Key コルが定義されない特殊ケース
- 申請レビュー時に「なぜ Key コルが空なのか」が一目でわかる必要がある
## 想定する表示案（実装時に再検討）
- 対象ピークのポップアップ内に「陸地最高峰」バッジを表示
- Key コル情報欄を「— 陸地最高峰のため未定義」のような注記に置き換える
## 注意
- 用語「陸地最高峰」「島嶼部最高峰」は現状 ADR にのみ登場。GLOSSARY や URD/SRS への正式取り込みが先に必要かは別途判断
- モックアップ改修タイミングでまとめて対応するのが望ましい</t>
        </is>
      </c>
      <c r="D55" s="7" t="inlineStr">
        <is>
          <t>改善</t>
        </is>
      </c>
      <c r="E55" s="5" t="inlineStr">
        <is>
          <t>低</t>
        </is>
      </c>
      <c r="F55" s="7" t="inlineStr"/>
      <c r="G55" s="7" t="inlineStr"/>
      <c r="H55" s="7" t="inlineStr">
        <is>
          <t>2026-05-24</t>
        </is>
      </c>
      <c r="I55" s="7" t="inlineStr"/>
      <c r="J55" s="7" t="inlineStr"/>
      <c r="K55" s="7" t="inlineStr">
        <is>
          <t>対応完了</t>
        </is>
      </c>
      <c r="L55" s="7" t="inlineStr"/>
      <c r="M55" s="7" t="inlineStr"/>
      <c r="N55" s="7" t="inlineStr"/>
      <c r="O55" s="7" t="inlineStr">
        <is>
          <t>2026-05-24</t>
        </is>
      </c>
      <c r="P55" s="7" t="inlineStr"/>
    </row>
    <row r="56" ht="40" customHeight="1">
      <c r="A56" s="6" t="inlineStr">
        <is>
          <t>ISSUE-055</t>
        </is>
      </c>
      <c r="B56" s="6" t="inlineStr">
        <is>
          <t>SRS: GeoJSONビューア（HTMLビュー）のUI要件追加</t>
        </is>
      </c>
      <c r="C56" s="6" t="inlineStr"/>
      <c r="D56" s="6" t="inlineStr">
        <is>
          <t>機能追加</t>
        </is>
      </c>
      <c r="E56" s="4" t="inlineStr">
        <is>
          <t>中</t>
        </is>
      </c>
      <c r="F56" s="6" t="inlineStr"/>
      <c r="G56" s="6" t="inlineStr"/>
      <c r="H56" s="6" t="inlineStr">
        <is>
          <t>2026-05-24</t>
        </is>
      </c>
      <c r="I56" s="6" t="inlineStr">
        <is>
          <t>SRS</t>
        </is>
      </c>
      <c r="J56" s="6" t="inlineStr"/>
      <c r="K56" s="6" t="inlineStr">
        <is>
          <t>未対応</t>
        </is>
      </c>
      <c r="L56" s="6" t="inlineStr"/>
      <c r="M56" s="6" t="inlineStr"/>
      <c r="N56" s="6" t="inlineStr">
        <is>
          <t>HTMLビューアはユーザーI/Fの1つ（外部I/F）であり、SRSに以下を記載する必要がある。
- match_status別の視覚的区別表示要件
- key_col_resolved=falseピークの陸地最高峰/島嶼部最高峰特別表示
- ポップアップ表示項目と編集可否（山岳名は新規のみ入力可など）
- 変更の根拠フィールドの入力要件・初期値テンプレート（※2/※4/※5）
- エクスポート機能の存在と出力内容
実装手段（Leaflet・HTML単体・localStorage等）はHLDに記載する。</t>
        </is>
      </c>
      <c r="O56" s="6" t="inlineStr"/>
      <c r="P56" s="6" t="inlineStr"/>
    </row>
  </sheetData>
  <dataValidations count="5">
    <dataValidation sqref="K2:K56" showDropDown="0" showInputMessage="0" showErrorMessage="0" allowBlank="1" type="list">
      <formula1>"未対応,対応中,対応完了,解決済,却下"</formula1>
    </dataValidation>
    <dataValidation sqref="E2:E56" showDropDown="0" showInputMessage="0" showErrorMessage="0" allowBlank="1" type="list">
      <formula1>"高,中,低"</formula1>
    </dataValidation>
    <dataValidation sqref="D2:D56" showDropDown="0" showInputMessage="0" showErrorMessage="0" allowBlank="1" type="list">
      <formula1>"機能追加,改善,調査,設計"</formula1>
    </dataValidation>
    <dataValidation sqref="I2:I56" showDropDown="0" showInputMessage="0" showErrorMessage="0" allowBlank="1" type="list">
      <formula1>"URD,SRS,HLD,LLD,COD,UT,IT,ST,OPS"</formula1>
    </dataValidation>
    <dataValidation sqref="J2:J56"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55</v>
      </c>
    </row>
    <row r="3">
      <c r="A3" s="10" t="inlineStr">
        <is>
          <t>未解決件数</t>
        </is>
      </c>
      <c r="B3" s="11" t="n">
        <v>21</v>
      </c>
    </row>
    <row r="4">
      <c r="A4" s="10" t="inlineStr">
        <is>
          <t>解決済件数</t>
        </is>
      </c>
      <c r="B4" s="11" t="n">
        <v>28</v>
      </c>
    </row>
    <row r="5">
      <c r="A5" s="10" t="inlineStr">
        <is>
          <t>解決率</t>
        </is>
      </c>
      <c r="B5" s="11" t="inlineStr">
        <is>
          <t>50.9%</t>
        </is>
      </c>
    </row>
    <row r="7">
      <c r="A7" s="8" t="inlineStr">
        <is>
          <t>ステータス別</t>
        </is>
      </c>
      <c r="B7" s="9" t="n"/>
    </row>
    <row r="8">
      <c r="A8" s="10" t="inlineStr">
        <is>
          <t>未対応</t>
        </is>
      </c>
      <c r="B8" s="11" t="n">
        <v>18</v>
      </c>
    </row>
    <row r="9">
      <c r="A9" s="10" t="inlineStr">
        <is>
          <t>対応中</t>
        </is>
      </c>
      <c r="B9" s="11" t="n">
        <v>0</v>
      </c>
    </row>
    <row r="10">
      <c r="A10" s="10" t="inlineStr">
        <is>
          <t>対応完了</t>
        </is>
      </c>
      <c r="B10" s="11" t="n">
        <v>3</v>
      </c>
    </row>
    <row r="11">
      <c r="A11" s="10" t="inlineStr">
        <is>
          <t>解決済</t>
        </is>
      </c>
      <c r="B11" s="11" t="n">
        <v>28</v>
      </c>
    </row>
    <row r="12">
      <c r="A12" s="10" t="inlineStr">
        <is>
          <t>却下</t>
        </is>
      </c>
      <c r="B12" s="11" t="n">
        <v>6</v>
      </c>
    </row>
    <row r="14">
      <c r="A14" s="8" t="inlineStr">
        <is>
          <t>優先度別（未解決）</t>
        </is>
      </c>
      <c r="B14" s="9" t="n"/>
    </row>
    <row r="15">
      <c r="A15" s="10" t="inlineStr">
        <is>
          <t>高</t>
        </is>
      </c>
      <c r="B15" s="11" t="n">
        <v>7</v>
      </c>
    </row>
    <row r="16">
      <c r="A16" s="10" t="inlineStr">
        <is>
          <t>中</t>
        </is>
      </c>
      <c r="B16" s="11" t="n">
        <v>9</v>
      </c>
    </row>
    <row r="17">
      <c r="A17" s="10" t="inlineStr">
        <is>
          <t>低</t>
        </is>
      </c>
      <c r="B17" s="11" t="n">
        <v>5</v>
      </c>
    </row>
    <row r="19">
      <c r="A19" s="8" t="inlineStr">
        <is>
          <t>種別別（未解決）</t>
        </is>
      </c>
      <c r="B19" s="9" t="n"/>
    </row>
    <row r="20">
      <c r="A20" s="10" t="inlineStr">
        <is>
          <t>機能追加</t>
        </is>
      </c>
      <c r="B20" s="11" t="n">
        <v>5</v>
      </c>
    </row>
    <row r="21">
      <c r="A21" s="10" t="inlineStr">
        <is>
          <t>改善</t>
        </is>
      </c>
      <c r="B21" s="11" t="n">
        <v>13</v>
      </c>
    </row>
    <row r="22">
      <c r="A22" s="10" t="inlineStr">
        <is>
          <t>調査</t>
        </is>
      </c>
      <c r="B22" s="11" t="n">
        <v>1</v>
      </c>
    </row>
    <row r="23">
      <c r="A23" s="10" t="inlineStr">
        <is>
          <t>設計</t>
        </is>
      </c>
      <c r="B23" s="11" t="n">
        <v>1</v>
      </c>
    </row>
    <row r="25">
      <c r="A25" s="8" t="inlineStr">
        <is>
          <t>カテゴリ別（未解決）</t>
        </is>
      </c>
      <c r="B25" s="9" t="n"/>
    </row>
    <row r="26">
      <c r="A26" s="10" t="inlineStr">
        <is>
          <t>解析エンジン</t>
        </is>
      </c>
      <c r="B26" s="11" t="n">
        <v>5</v>
      </c>
    </row>
    <row r="27">
      <c r="A27" s="10" t="inlineStr">
        <is>
          <t>merge.py</t>
        </is>
      </c>
      <c r="B27" s="11" t="n">
        <v>3</v>
      </c>
    </row>
    <row r="28">
      <c r="A28" s="10" t="inlineStr">
        <is>
          <t>GeoJSON出力</t>
        </is>
      </c>
      <c r="B28" s="11" t="n">
        <v>1</v>
      </c>
    </row>
    <row r="29">
      <c r="A29" s="10" t="inlineStr">
        <is>
          <t>設定</t>
        </is>
      </c>
      <c r="B29" s="11" t="n">
        <v>1</v>
      </c>
    </row>
    <row r="30">
      <c r="A30" s="10" t="inlineStr">
        <is>
          <t>その他</t>
        </is>
      </c>
      <c r="B30" s="11" t="n">
        <v>5</v>
      </c>
    </row>
    <row r="32">
      <c r="A32" s="8" t="inlineStr">
        <is>
          <t>ステージ別（未解決）</t>
        </is>
      </c>
      <c r="B32" s="9" t="n"/>
    </row>
    <row r="33">
      <c r="A33" s="10" t="inlineStr">
        <is>
          <t>URD</t>
        </is>
      </c>
      <c r="B33" s="11" t="n">
        <v>1</v>
      </c>
    </row>
    <row r="34">
      <c r="A34" s="10" t="inlineStr">
        <is>
          <t>SRS</t>
        </is>
      </c>
      <c r="B34" s="11" t="n">
        <v>16</v>
      </c>
    </row>
    <row r="35">
      <c r="A35" s="10" t="inlineStr">
        <is>
          <t>HLD</t>
        </is>
      </c>
      <c r="B35" s="11" t="n">
        <v>1</v>
      </c>
    </row>
    <row r="36">
      <c r="A36" s="10" t="inlineStr">
        <is>
          <t>COD</t>
        </is>
      </c>
      <c r="B36" s="11" t="n">
        <v>2</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9"/>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row r="25">
      <c r="A25" t="inlineStr">
        <is>
          <t>2026-05-20</t>
        </is>
      </c>
      <c r="B25" t="n">
        <v>42</v>
      </c>
      <c r="C25" t="n">
        <v>17</v>
      </c>
      <c r="D25" t="n">
        <v>17</v>
      </c>
    </row>
    <row r="26">
      <c r="A26" t="inlineStr">
        <is>
          <t>2026-05-21</t>
        </is>
      </c>
      <c r="B26" t="n">
        <v>45</v>
      </c>
      <c r="C26" t="n">
        <v>18</v>
      </c>
      <c r="D26" t="n">
        <v>17</v>
      </c>
    </row>
    <row r="27">
      <c r="A27" t="inlineStr">
        <is>
          <t>2026-05-22</t>
        </is>
      </c>
      <c r="B27" t="n">
        <v>50</v>
      </c>
      <c r="C27" t="n">
        <v>23</v>
      </c>
      <c r="D27" t="n">
        <v>23</v>
      </c>
    </row>
    <row r="28">
      <c r="A28" t="inlineStr">
        <is>
          <t>2026-05-23</t>
        </is>
      </c>
      <c r="B28" t="n">
        <v>53</v>
      </c>
      <c r="C28" t="n">
        <v>33</v>
      </c>
      <c r="D28" t="n">
        <v>34</v>
      </c>
    </row>
    <row r="29">
      <c r="A29" t="inlineStr">
        <is>
          <t>2026-05-24</t>
        </is>
      </c>
      <c r="B29" t="n">
        <v>55</v>
      </c>
      <c r="C29" t="n">
        <v>35</v>
      </c>
      <c r="D29" t="n">
        <v>34</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2026-05-24T02:29:45Z</dcterms:created>
  <dcterms:modified xsi:type="dcterms:W3CDTF">2026-05-24T02:29:45Z</dcterms:modified>
</cp:coreProperties>
</file>