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'収束グラフ'!$A$2:$A$65</f>
            </strRef>
          </cat>
          <val>
            <numRef>
              <f>'収束グラフ'!$B$2:$B$65</f>
            </numRef>
          </val>
          <smooth val="0"/>
        </ser>
        <ser>
          <idx val="1"/>
          <order val="1"/>
          <tx>
            <strRef>
              <f>'収束グラフ'!C1</f>
            </strRef>
          </tx>
          <spPr>
            <a:ln w="20000">
              <a:solidFill>
                <a:srgbClr val="4472C4"/>
              </a:solidFill>
              <a:prstDash val="solid"/>
            </a:ln>
          </spPr>
          <marker>
            <symbol val="none"/>
            <spPr>
              <a:ln>
                <a:prstDash val="solid"/>
              </a:ln>
            </spPr>
          </marker>
          <cat>
            <strRef>
              <f>'収束グラフ'!$A$2:$A$65</f>
            </strRef>
          </cat>
          <val>
            <numRef>
              <f>'収束グラフ'!$C$2:$C$65</f>
            </numRef>
          </val>
          <smooth val="0"/>
        </ser>
        <ser>
          <idx val="2"/>
          <order val="2"/>
          <tx>
            <strRef>
              <f>'収束グラフ'!D1</f>
            </strRef>
          </tx>
          <spPr>
            <a:ln w="20000">
              <a:solidFill>
                <a:srgbClr val="70AD47"/>
              </a:solidFill>
              <a:prstDash val="solid"/>
            </a:ln>
          </spPr>
          <marker>
            <symbol val="none"/>
            <spPr>
              <a:ln>
                <a:prstDash val="solid"/>
              </a:ln>
            </spPr>
          </marker>
          <cat>
            <strRef>
              <f>'収束グラフ'!$A$2:$A$65</f>
            </strRef>
          </cat>
          <val>
            <numRef>
              <f>'収束グラフ'!$D$2:$D$65</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2" t="inlineStr">
        <is>
          <t>ISSUE-140</t>
        </is>
      </c>
      <c r="B140" s="2" t="inlineStr">
        <is>
          <t>key_col_unresolved_peaks-N.csv のカラム定義（スキーマ）を FR-022 出力テーブル／§7.2.1 に追加</t>
        </is>
      </c>
      <c r="C140" s="2"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2" t="inlineStr">
        <is>
          <t>設計</t>
        </is>
      </c>
      <c r="E140" s="3" t="inlineStr">
        <is>
          <t>高</t>
        </is>
      </c>
      <c r="F140" s="2" t="inlineStr">
        <is>
          <t>その他</t>
        </is>
      </c>
      <c r="G140" s="2" t="inlineStr"/>
      <c r="H140" s="2" t="inlineStr">
        <is>
          <t>2026-06-28</t>
        </is>
      </c>
      <c r="I140" s="2" t="inlineStr">
        <is>
          <t>SRS</t>
        </is>
      </c>
      <c r="J140" s="2" t="inlineStr"/>
      <c r="K140" s="2" t="inlineStr">
        <is>
          <t>解決済</t>
        </is>
      </c>
      <c r="L140" s="2" t="inlineStr"/>
      <c r="M140" s="2" t="inlineStr">
        <is>
          <t>カラムを確定し（最低限 peak_lat, peak_lon。追加列があれば明示）、FR-022 出力テーブル備考欄か §7.2.2 に定義セクションを追加する。FR-014 入力備考欄も整合させる。</t>
        </is>
      </c>
      <c r="N140" s="2" t="inlineStr"/>
      <c r="O140" s="2" t="inlineStr">
        <is>
          <t>2026-06-28</t>
        </is>
      </c>
      <c r="P140" s="2" t="inlineStr">
        <is>
          <t>2026-06-29</t>
        </is>
      </c>
    </row>
    <row r="141" ht="40" customHeight="1">
      <c r="A141" s="2" t="inlineStr">
        <is>
          <t>ISSUE-141</t>
        </is>
      </c>
      <c r="B141" s="2" t="inlineStr">
        <is>
          <t>FR-022 異常系定義の追加（入力 CSV 不存在・空ピーク時の挙動）</t>
        </is>
      </c>
      <c r="C141" s="2"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2" t="inlineStr">
        <is>
          <t>設計</t>
        </is>
      </c>
      <c r="E141" s="4" t="inlineStr">
        <is>
          <t>中</t>
        </is>
      </c>
      <c r="F141" s="2" t="inlineStr">
        <is>
          <t>その他</t>
        </is>
      </c>
      <c r="G141" s="2" t="inlineStr"/>
      <c r="H141" s="2" t="inlineStr">
        <is>
          <t>2026-06-28</t>
        </is>
      </c>
      <c r="I141" s="2" t="inlineStr">
        <is>
          <t>SRS</t>
        </is>
      </c>
      <c r="J141" s="2" t="inlineStr"/>
      <c r="K141" s="2" t="inlineStr">
        <is>
          <t>解決済</t>
        </is>
      </c>
      <c r="L141" s="2" t="inlineStr"/>
      <c r="M141" s="2" t="inlineStr">
        <is>
          <t>FR-022 説明に「異常系」セクションを追加。「入力 CSV が存在しない場合はエラー終了（FR-023 に伝播）」「ピーク0件（空 CSV）の場合は「ゼロ」を返し正常終了（フェーズ4へ進む）」の方針を確定して記述する。</t>
        </is>
      </c>
      <c r="N141" s="2" t="inlineStr"/>
      <c r="O141" s="2" t="inlineStr">
        <is>
          <t>2026-06-28</t>
        </is>
      </c>
      <c r="P141" s="2" t="inlineStr">
        <is>
          <t>2026-06-29</t>
        </is>
      </c>
    </row>
    <row r="142" ht="40" customHeight="1">
      <c r="A142" s="2" t="inlineStr">
        <is>
          <t>ISSUE-142</t>
        </is>
      </c>
      <c r="B142" s="2" t="inlineStr">
        <is>
          <t>FR-023 の下位 FR エラー時のエラー伝播方針を SRS に明記</t>
        </is>
      </c>
      <c r="C142" s="2"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2" t="inlineStr">
        <is>
          <t>設計</t>
        </is>
      </c>
      <c r="E142" s="4" t="inlineStr">
        <is>
          <t>中</t>
        </is>
      </c>
      <c r="F142" s="2" t="inlineStr">
        <is>
          <t>その他</t>
        </is>
      </c>
      <c r="G142" s="2" t="inlineStr"/>
      <c r="H142" s="2" t="inlineStr">
        <is>
          <t>2026-06-28</t>
        </is>
      </c>
      <c r="I142" s="2" t="inlineStr">
        <is>
          <t>SRS</t>
        </is>
      </c>
      <c r="J142" s="2" t="inlineStr"/>
      <c r="K142" s="2" t="inlineStr">
        <is>
          <t>解決済</t>
        </is>
      </c>
      <c r="L142" s="2" t="inlineStr"/>
      <c r="M142" s="2" t="inlineStr">
        <is>
          <t>方針を確定し（推奨: 即時終了・エラー伝播）、FR-023 説明のループ終了条件周辺に「呼び出した FR がエラー終了した場合は FR-023 も即時終了する」旨を追記する。</t>
        </is>
      </c>
      <c r="N142" s="2" t="inlineStr"/>
      <c r="O142" s="2" t="inlineStr">
        <is>
          <t>2026-06-28</t>
        </is>
      </c>
      <c r="P142" s="2" t="inlineStr">
        <is>
          <t>2026-06-29</t>
        </is>
      </c>
    </row>
    <row r="143" ht="40" customHeight="1">
      <c r="A143" s="2" t="inlineStr">
        <is>
          <t>ISSUE-143</t>
        </is>
      </c>
      <c r="B143" s="2" t="inlineStr">
        <is>
          <t>FR-020: NFR-010（描画応答性）スコープに公開用 HTML を含めるか確認・RTM 更新</t>
        </is>
      </c>
      <c r="C143" s="2"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2" t="inlineStr">
        <is>
          <t>設計</t>
        </is>
      </c>
      <c r="E143" s="4" t="inlineStr">
        <is>
          <t>中</t>
        </is>
      </c>
      <c r="F143" s="2" t="inlineStr">
        <is>
          <t>その他</t>
        </is>
      </c>
      <c r="G143" s="2" t="inlineStr">
        <is>
          <t>Sonnet</t>
        </is>
      </c>
      <c r="H143" s="2" t="inlineStr">
        <is>
          <t>2026-06-28</t>
        </is>
      </c>
      <c r="I143" s="2" t="inlineStr">
        <is>
          <t>SRS</t>
        </is>
      </c>
      <c r="J143" s="2" t="inlineStr"/>
      <c r="K143" s="2" t="inlineStr">
        <is>
          <t>解決済</t>
        </is>
      </c>
      <c r="L143" s="2" t="inlineStr"/>
      <c r="M143" s="2"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2" t="inlineStr"/>
      <c r="O143" s="2" t="inlineStr">
        <is>
          <t>2026-06-28</t>
        </is>
      </c>
      <c r="P143" s="2" t="inlineStr">
        <is>
          <t>2026-06-29</t>
        </is>
      </c>
    </row>
    <row r="144" ht="40" customHeight="1">
      <c r="A144" s="2" t="inlineStr">
        <is>
          <t>ISSUE-144</t>
        </is>
      </c>
      <c r="B144" s="2" t="inlineStr">
        <is>
          <t>FR-017 生成1（60地域GeoJSON）への北方領土ポリゴン含有の扱いを明示</t>
        </is>
      </c>
      <c r="C144" s="2"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2" t="inlineStr">
        <is>
          <t>設計</t>
        </is>
      </c>
      <c r="E144" s="4" t="inlineStr">
        <is>
          <t>中</t>
        </is>
      </c>
      <c r="F144" s="2" t="inlineStr">
        <is>
          <t>その他</t>
        </is>
      </c>
      <c r="G144" s="2" t="inlineStr">
        <is>
          <t>Sonnet</t>
        </is>
      </c>
      <c r="H144" s="2" t="inlineStr">
        <is>
          <t>2026-06-28</t>
        </is>
      </c>
      <c r="I144" s="2" t="inlineStr">
        <is>
          <t>SRS</t>
        </is>
      </c>
      <c r="J144" s="2" t="inlineStr"/>
      <c r="K144" s="2" t="inlineStr">
        <is>
          <t>解決済</t>
        </is>
      </c>
      <c r="L144" s="2" t="inlineStr"/>
      <c r="M144" s="2"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2" t="inlineStr"/>
      <c r="O144" s="2" t="inlineStr">
        <is>
          <t>2026-06-28</t>
        </is>
      </c>
      <c r="P144" s="2" t="inlineStr">
        <is>
          <t>2026-06-29</t>
        </is>
      </c>
    </row>
    <row r="145" ht="40" customHeight="1">
      <c r="A145" s="2" t="inlineStr">
        <is>
          <t>ISSUE-145</t>
        </is>
      </c>
      <c r="B145" s="2" t="inlineStr">
        <is>
          <t>FR-017 生成1 dissolve の出力形状（MultiPolygon 可否）を明示</t>
        </is>
      </c>
      <c r="C145" s="2"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2" t="inlineStr">
        <is>
          <t>設計</t>
        </is>
      </c>
      <c r="E145" s="4" t="inlineStr">
        <is>
          <t>中</t>
        </is>
      </c>
      <c r="F145" s="2" t="inlineStr">
        <is>
          <t>その他</t>
        </is>
      </c>
      <c r="G145" s="2" t="inlineStr">
        <is>
          <t>Sonnet</t>
        </is>
      </c>
      <c r="H145" s="2" t="inlineStr">
        <is>
          <t>2026-06-28</t>
        </is>
      </c>
      <c r="I145" s="2" t="inlineStr">
        <is>
          <t>SRS</t>
        </is>
      </c>
      <c r="J145" s="2" t="inlineStr"/>
      <c r="K145" s="2" t="inlineStr">
        <is>
          <t>解決済</t>
        </is>
      </c>
      <c r="L145" s="2" t="inlineStr"/>
      <c r="M145" s="2"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2" t="inlineStr"/>
      <c r="O145" s="2" t="inlineStr">
        <is>
          <t>2026-06-28</t>
        </is>
      </c>
      <c r="P145" s="2" t="inlineStr">
        <is>
          <t>2026-06-29</t>
        </is>
      </c>
    </row>
    <row r="146" ht="40" customHeight="1">
      <c r="A146" s="2" t="inlineStr">
        <is>
          <t>ISSUE-146</t>
        </is>
      </c>
      <c r="B146" s="2" t="inlineStr">
        <is>
          <t>FR-017 再実行条件（N03 ZIP 差し替え時）の SRS 記載 vs HLD 委任を判断</t>
        </is>
      </c>
      <c r="C146" s="2"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2" t="inlineStr">
        <is>
          <t>設計</t>
        </is>
      </c>
      <c r="E146" s="5" t="inlineStr">
        <is>
          <t>低</t>
        </is>
      </c>
      <c r="F146" s="2" t="inlineStr">
        <is>
          <t>その他</t>
        </is>
      </c>
      <c r="G146" s="2" t="inlineStr">
        <is>
          <t>Sonnet</t>
        </is>
      </c>
      <c r="H146" s="2" t="inlineStr">
        <is>
          <t>2026-06-28</t>
        </is>
      </c>
      <c r="I146" s="2" t="inlineStr">
        <is>
          <t>SRS</t>
        </is>
      </c>
      <c r="J146" s="2" t="inlineStr"/>
      <c r="K146" s="2" t="inlineStr">
        <is>
          <t>解決済</t>
        </is>
      </c>
      <c r="L146" s="2" t="inlineStr"/>
      <c r="M146" s="2"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2" t="inlineStr"/>
      <c r="O146" s="2" t="inlineStr">
        <is>
          <t>2026-06-28</t>
        </is>
      </c>
      <c r="P146" s="2" t="inlineStr">
        <is>
          <t>2026-06-29</t>
        </is>
      </c>
    </row>
    <row r="147" ht="40" customHeight="1">
      <c r="A147" s="2" t="inlineStr">
        <is>
          <t>ISSUE-147</t>
        </is>
      </c>
      <c r="B147" s="2" t="inlineStr">
        <is>
          <t>ADR-URD-005 Consequences が旧方式（FR-003 NODATA 扱い）のまま残存し ADR-SRS-018 と矛盾</t>
        </is>
      </c>
      <c r="C147" s="2" t="inlineStr">
        <is>
          <t>ADR-URD-005 の §Consequences（行96–107）は「北方領土タイルは FR-001 で引き続き取得し FR-003 で NODATA 扱い」という旧方式の記述が残存している。しかし ADR-SRS-018（2026-06-07 採用）では FR-001 が HTTP リクエストを発行しない新方式に変更されており、ADR-URD-005 Decision 本文（行40–54）もこの新方式を記述している。Consequences のみが旧方式のまま放置されており、ADR 内で矛盾が生じている。</t>
        </is>
      </c>
      <c r="D147" s="2" t="inlineStr">
        <is>
          <t>改善</t>
        </is>
      </c>
      <c r="E147" s="3" t="inlineStr">
        <is>
          <t>高</t>
        </is>
      </c>
      <c r="F147" s="2" t="inlineStr">
        <is>
          <t>その他</t>
        </is>
      </c>
      <c r="G147" s="2" t="inlineStr"/>
      <c r="H147" s="2" t="inlineStr">
        <is>
          <t>2026-06-28</t>
        </is>
      </c>
      <c r="I147" s="2" t="inlineStr">
        <is>
          <t>SRS</t>
        </is>
      </c>
      <c r="J147" s="2" t="inlineStr"/>
      <c r="K147" s="2" t="inlineStr">
        <is>
          <t>解決済</t>
        </is>
      </c>
      <c r="L147" s="2" t="inlineStr"/>
      <c r="M147" s="2" t="inlineStr">
        <is>
          <t>ADR-URD-005 §Consequences から FR-003 への言及（行101）と「北方領土タイルは FR-001 で引き続き取得される」記述（行102–104）を削除し、「FR-001 が HTTP リクエストを発行しないことで除外が完結する」旨に書き換える。</t>
        </is>
      </c>
      <c r="N147" s="2" t="inlineStr"/>
      <c r="O147" s="2" t="inlineStr">
        <is>
          <t>2026-06-28</t>
        </is>
      </c>
      <c r="P147" s="2" t="inlineStr">
        <is>
          <t>2026-06-29</t>
        </is>
      </c>
    </row>
    <row r="148" ht="40" customHeight="1">
      <c r="A148" s="2" t="inlineStr">
        <is>
          <t>ISSUE-148</t>
        </is>
      </c>
      <c r="B148" s="2" t="inlineStr">
        <is>
          <t>FR-001 で DEM10b（Z14）取得時の北方領土除外方法が仕様に未記述</t>
        </is>
      </c>
      <c r="C148" s="2" t="inlineStr">
        <is>
          <t>北方領土除外タイルリストは Z15 形式（x y 整数ペア、§7.2.2.1）と FR-001 行329 に明記されているが、DEM10b は Z14 で配信される（§6.2.10）。Z14 タイルを Z15 リストからどう除外するか（floor(x/2), floor(y/2) による変換で Z14 タイルを除外するか、別途 Z14 リストを生成するか、そもそも北方領土に DEM10b タイルが存在しないかなど）が FR-001 にも §7.2.2.1 にも記述なく、実装時にバグを招く可能性がある。ADR-URD-005 の Decision（行50）も「ズームレベル 15 の x/y 整数ペア」のみ言及し Z14 への言及がない。</t>
        </is>
      </c>
      <c r="D148" s="2" t="inlineStr">
        <is>
          <t>設計</t>
        </is>
      </c>
      <c r="E148" s="3" t="inlineStr">
        <is>
          <t>高</t>
        </is>
      </c>
      <c r="F148" s="2" t="inlineStr">
        <is>
          <t>prefetch</t>
        </is>
      </c>
      <c r="G148" s="2" t="inlineStr"/>
      <c r="H148" s="2" t="inlineStr">
        <is>
          <t>2026-06-28</t>
        </is>
      </c>
      <c r="I148" s="2" t="inlineStr">
        <is>
          <t>SRS</t>
        </is>
      </c>
      <c r="J148" s="2" t="inlineStr"/>
      <c r="K148" s="2" t="inlineStr">
        <is>
          <t>解決済</t>
        </is>
      </c>
      <c r="L148" s="2" t="inlineStr"/>
      <c r="M148" s="2" t="inlineStr">
        <is>
          <t>ADR-URD-005 あるいは新規 ADR-SRS-XXX で Z14 タイル除外方法を設計決定し、FR-001 説明および §7.2.2.1 に明記する。設計の選択肢: (a) Z15 リストを floor(x/2),floor(y/2) で変換して Z14 タイルも除外 / (b) FR-017 が Z14 リストを別途生成 / (c) 地理院は北方領土の DEM10b タイルを提供しないため取得時に HTTP 404 になるだけで除外不要（実データ確認が先決）。</t>
        </is>
      </c>
      <c r="N148" s="2" t="inlineStr"/>
      <c r="O148" s="2" t="inlineStr">
        <is>
          <t>2026-06-28</t>
        </is>
      </c>
      <c r="P148" s="2" t="inlineStr">
        <is>
          <t>2026-06-29</t>
        </is>
      </c>
    </row>
    <row r="149" ht="40" customHeight="1">
      <c r="A149" s="2" t="inlineStr">
        <is>
          <t>ISSUE-149</t>
        </is>
      </c>
      <c r="B149" s="2" t="inlineStr">
        <is>
          <t>FR-001 リトライ（HTTP 429/503）上限超過後の挙動が SRS 未定義</t>
        </is>
      </c>
      <c r="C149" s="2" t="inlineStr">
        <is>
          <t>FR-001 説明 行333 に「HTTP 429/503 が返された場合は再試行する（リトライ戦略の詳細は HLD 参照）」とあるが、リトライ上限超過後の挙動（エラー終了して全体を止めるか、当該タイルをスキップして継続するか）が SRS レベルの方針として未定義。他の異常系（北方領土リスト未存在→エラー終了、HTTP 404→キャッシュ削除）は SRS で明確化されているが、リトライ超過のみ HLD 丸投げとなっている。</t>
        </is>
      </c>
      <c r="D149" s="2" t="inlineStr">
        <is>
          <t>設計</t>
        </is>
      </c>
      <c r="E149" s="4" t="inlineStr">
        <is>
          <t>中</t>
        </is>
      </c>
      <c r="F149" s="2" t="inlineStr">
        <is>
          <t>prefetch</t>
        </is>
      </c>
      <c r="G149" s="2" t="inlineStr"/>
      <c r="H149" s="2" t="inlineStr">
        <is>
          <t>2026-06-28</t>
        </is>
      </c>
      <c r="I149" s="2" t="inlineStr">
        <is>
          <t>SRS</t>
        </is>
      </c>
      <c r="J149" s="2" t="inlineStr"/>
      <c r="K149" s="2" t="inlineStr">
        <is>
          <t>解決済</t>
        </is>
      </c>
      <c r="L149" s="2" t="inlineStr"/>
      <c r="M149" s="2" t="inlineStr">
        <is>
          <t>SRS の FR-001 説明にリトライ上限超過後の基本方針（エラー終了 or スキップ継続）を明記し、上限回数・バックオフアルゴリズム等の詳細は引き続き HLD に委任する。ユーザーへの影響（全タイル取得失敗か部分取得かで後段解析品質が大きく変わる）を考慮して設計方針を決定すること。</t>
        </is>
      </c>
      <c r="N149" s="2" t="inlineStr"/>
      <c r="O149" s="2" t="inlineStr">
        <is>
          <t>2026-06-28</t>
        </is>
      </c>
      <c r="P149" s="2" t="inlineStr">
        <is>
          <t>2026-06-29</t>
        </is>
      </c>
    </row>
    <row r="150" ht="40" customHeight="1">
      <c r="A150" s="6" t="inlineStr">
        <is>
          <t>ISSUE-150</t>
        </is>
      </c>
      <c r="B150" s="6" t="inlineStr">
        <is>
          <t>FR-022 異常系: key_col_resolved カラム不在時の動作が未定義</t>
        </is>
      </c>
      <c r="C150" s="6" t="inlineStr">
        <is>
          <t>spec-panel レビュー（2026-06-28）で検出。FR-022 の異常系には「ファイル不存在」「読み取りエラー」「空CSV」の3ケースを定義しているが、CSVが存在し読み取れても key_col_resolved カラムが欠落（スキーマ不整合）している場合の動作が規定されていない。実装者が判断を委ねられるリスクがある。</t>
        </is>
      </c>
      <c r="D150" s="6" t="inlineStr">
        <is>
          <t>改善</t>
        </is>
      </c>
      <c r="E150" s="4" t="inlineStr">
        <is>
          <t>中</t>
        </is>
      </c>
      <c r="F150" s="6" t="inlineStr">
        <is>
          <t>その他</t>
        </is>
      </c>
      <c r="G150" s="6" t="inlineStr"/>
      <c r="H150" s="6" t="inlineStr">
        <is>
          <t>2026-06-28</t>
        </is>
      </c>
      <c r="I150" s="6" t="inlineStr">
        <is>
          <t>SRS</t>
        </is>
      </c>
      <c r="J150" s="6" t="inlineStr"/>
      <c r="K150" s="6" t="inlineStr">
        <is>
          <t>未対応</t>
        </is>
      </c>
      <c r="L150" s="6" t="inlineStr"/>
      <c r="M150" s="6" t="inlineStr">
        <is>
          <t>「読み取りエラー」の定義を「CSVスキーマ不整合（key_col_resolved カラム不在等）を含む」に拡張してエラー終了とする案、または別ケースとして追記する案を比較し、SRS FR-022 異常系に確定記述を追加する。対象: docs/20_SRS.md line 844–846</t>
        </is>
      </c>
      <c r="N150" s="6" t="inlineStr"/>
      <c r="O150" s="6" t="inlineStr"/>
      <c r="P150" s="6" t="inlineStr"/>
    </row>
    <row r="151" ht="40" customHeight="1">
      <c r="A151" s="2" t="inlineStr">
        <is>
          <t>ISSUE-151</t>
        </is>
      </c>
      <c r="B151" s="2" t="inlineStr">
        <is>
          <t>FR-019: matchedのdelete_zoneビューア表示可否の設計決定</t>
        </is>
      </c>
      <c r="C151" s="2" t="inlineStr">
        <is>
          <t>FR-009フィーチャ構成テーブル（line 962）でmatchedにPolygon（delete判定ゾーン）を追記したが、FR-019 line 1152が「delete判定ゾーンポリゴン（new / dominant）を独立したトグルレイヤーとして追加」のままで、matchedのdelete_zoneをビューアで表示するか否かが未定義。FR-019の表示ロジック（AZとの重なり除外・デフォルトON等）がmatchedにも適用されるかどうかも不明確。</t>
        </is>
      </c>
      <c r="D151" s="2" t="inlineStr">
        <is>
          <t>設計</t>
        </is>
      </c>
      <c r="E151" s="3" t="inlineStr">
        <is>
          <t>高</t>
        </is>
      </c>
      <c r="F151" s="2" t="inlineStr">
        <is>
          <t>その他</t>
        </is>
      </c>
      <c r="G151" s="2" t="inlineStr"/>
      <c r="H151" s="2" t="inlineStr">
        <is>
          <t>2026-06-28</t>
        </is>
      </c>
      <c r="I151" s="2" t="inlineStr">
        <is>
          <t>SRS</t>
        </is>
      </c>
      <c r="J151" s="2" t="inlineStr"/>
      <c r="K151" s="2" t="inlineStr">
        <is>
          <t>解決済</t>
        </is>
      </c>
      <c r="L151" s="2" t="inlineStr"/>
      <c r="M151" s="2" t="inlineStr">
        <is>
          <t>① matchedのdelete_zoneをビューアのトグルレイヤーで表示するか否かを設計決定する。② 表示する場合はFR-019 line 1152の「new / dominant」制限を削除してSRS修正。③ 表示しない場合は「matched を除く」旨を明示し、SRS FR-009 line 1028の「new / dominant のみ」と整合させる。いずれの場合もFR-009 line 1028・FR-019 line 1152の両方を同時修正する。</t>
        </is>
      </c>
      <c r="N151" s="2" t="inlineStr"/>
      <c r="O151" s="2" t="inlineStr">
        <is>
          <t>2026-06-28</t>
        </is>
      </c>
      <c r="P151" s="2" t="inlineStr">
        <is>
          <t>2026-06-29</t>
        </is>
      </c>
    </row>
    <row r="152" ht="40" customHeight="1">
      <c r="A152" s="2" t="inlineStr">
        <is>
          <t>ISSUE-152</t>
        </is>
      </c>
      <c r="B152" s="2" t="inlineStr">
        <is>
          <t>SRS: 海面確定規則（層1）でのcol_lat/col_lon=0.0 sentinel 定義を明記する</t>
        </is>
      </c>
      <c r="C152" s="2" t="inlineStr">
        <is>
          <t>FR-019 line 1185「陸地最高峰・島嶼部最高峰はcol_lat/col_lon=0.0 sentinelのためkey_col feature が除外」と記述しているが、FR-006 line 651（海面確定規則）はその場合のcol_lat/col_lonの値を明記していない。per-mesh CSVカラム定義（line 689）はkey_col_resolved=falseの場合のみ0.0と定義しており、key_col_resolved=trueかつKey Col=海面0m（陸地最高峰リスト・海面確定規則）の場合のcol_lat/col_lonが未定義。またFR-018 line 815が「陸地最高峰は0.0のため除外」のみで島嶼部最高峰（海面確定規則）への言及がなく、FR-019 line 1185と不整合。</t>
        </is>
      </c>
      <c r="D152" s="2" t="inlineStr">
        <is>
          <t>改善</t>
        </is>
      </c>
      <c r="E152" s="4" t="inlineStr">
        <is>
          <t>中</t>
        </is>
      </c>
      <c r="F152" s="2" t="inlineStr">
        <is>
          <t>その他</t>
        </is>
      </c>
      <c r="G152" s="2" t="inlineStr"/>
      <c r="H152" s="2" t="inlineStr">
        <is>
          <t>2026-06-28</t>
        </is>
      </c>
      <c r="I152" s="2" t="inlineStr">
        <is>
          <t>SRS</t>
        </is>
      </c>
      <c r="J152" s="2" t="inlineStr"/>
      <c r="K152" s="2" t="inlineStr">
        <is>
          <t>解決済</t>
        </is>
      </c>
      <c r="L152" s="2" t="inlineStr"/>
      <c r="M152" s="2" t="inlineStr">
        <is>
          <t>FR-006 line 651（海面確定規則）に「col_lat/col_lon=0.0 sentinelを設定する」旨を追記。per-mesh CSV カラム定義（line 689）をkey_col_resolved=falseの場合に加えて「海面確定（key_col_resolved=true + Key Col=0m）の場合もcol_lat=col_lon=0.0」と拡張。FR-018 line 815を「陸地最高峰・島嶼部最高峰（海面確定規則）は」に拡張。ADR-SRS-019の層1説明にもcol座標値を追記する。</t>
        </is>
      </c>
      <c r="N152" s="2" t="inlineStr"/>
      <c r="O152" s="2" t="inlineStr">
        <is>
          <t>2026-06-28</t>
        </is>
      </c>
      <c r="P152" s="2" t="inlineStr">
        <is>
          <t>2026-06-29</t>
        </is>
      </c>
    </row>
    <row r="153" ht="40" customHeight="1">
      <c r="A153" s="2" t="inlineStr">
        <is>
          <t>ISSUE-153</t>
        </is>
      </c>
      <c r="B153" s="2" t="inlineStr">
        <is>
          <t>FR-019: popup表示文言「未定義（陸地最高峰）」の見直し</t>
        </is>
      </c>
      <c r="C153" s="2" t="inlineStr">
        <is>
          <t>FR-019 line 1185でkey_col featureがない場合の表示文言を「未定義（陸地最高峰）」としているが、「陸地最高峰と島嶼部最高峰はビューア上で区別しない」という方針と齟齬がある。宮之浦岳（屋久島最高峰・SOTA申請対象）など地理的に陸地最高峰でない山にも「陸地最高峰」と表示される。前セッションで「UI上は陸地最高峰に統一」と決定したが、その理由がSRS本文に明記されておらず、担当者が混乱する可能性がある。</t>
        </is>
      </c>
      <c r="D153" s="2" t="inlineStr">
        <is>
          <t>改善</t>
        </is>
      </c>
      <c r="E153" s="4" t="inlineStr">
        <is>
          <t>中</t>
        </is>
      </c>
      <c r="F153" s="2" t="inlineStr">
        <is>
          <t>その他</t>
        </is>
      </c>
      <c r="G153" s="2" t="inlineStr"/>
      <c r="H153" s="2" t="inlineStr">
        <is>
          <t>2026-06-28</t>
        </is>
      </c>
      <c r="I153" s="2" t="inlineStr">
        <is>
          <t>SRS</t>
        </is>
      </c>
      <c r="J153" s="2" t="inlineStr"/>
      <c r="K153" s="2" t="inlineStr">
        <is>
          <t>解決済</t>
        </is>
      </c>
      <c r="L153" s="2" t="inlineStr"/>
      <c r="M153" s="2" t="inlineStr">
        <is>
          <t>① 表示文言を「未定義（Keyコルなし）」等の地理的事実に中立な文言に変更する、または ② 現文言「未定義（陸地最高峰）」を維持し「陸地最高峰・島嶼部最高峰を区別せず統一ラベルとして使用」旨を括弧書きで明記する。どちらを選ぶかをユーザーと合意してSRS line 1185を更新する。</t>
        </is>
      </c>
      <c r="N153" s="2" t="inlineStr"/>
      <c r="O153" s="2" t="inlineStr">
        <is>
          <t>2026-06-28</t>
        </is>
      </c>
      <c r="P153" s="2" t="inlineStr">
        <is>
          <t>2026-06-29</t>
        </is>
      </c>
    </row>
    <row r="154" ht="40" customHeight="1">
      <c r="A154" s="2" t="inlineStr">
        <is>
          <t>ISSUE-154</t>
        </is>
      </c>
      <c r="B154" s="2" t="inlineStr">
        <is>
          <t>SRS FR-009: matchedピークが他サミットの主ピークになるシナリオを明示する</t>
        </is>
      </c>
      <c r="C154" s="2" t="inlineStr">
        <is>
          <t>FR-016が全ピーク（match_status問わず）にdelete_zoneを生成し、FR-009の主ピーク特定（line 905-910）も全ピークのdelete_zoneを対象にする。matchedピークのdelete_zone内にAZ外のSOTAサミット（delete候補）が入った場合、matchedピークが主ピークになり得るが、この場合のpeak.match_status（matchedのまま？）・フィーチャ構成（matchedにdeleteサミットのPointを追加するか）が未定義。line 962のmatchedフィーチャ構成には削除候補サミットの複数Point/LineStringについての記述がない。</t>
        </is>
      </c>
      <c r="D154" s="2" t="inlineStr">
        <is>
          <t>設計</t>
        </is>
      </c>
      <c r="E154" s="4" t="inlineStr">
        <is>
          <t>中</t>
        </is>
      </c>
      <c r="F154" s="2" t="inlineStr">
        <is>
          <t>その他</t>
        </is>
      </c>
      <c r="G154" s="2" t="inlineStr"/>
      <c r="H154" s="2" t="inlineStr">
        <is>
          <t>2026-06-28</t>
        </is>
      </c>
      <c r="I154" s="2" t="inlineStr">
        <is>
          <t>SRS</t>
        </is>
      </c>
      <c r="J154" s="2" t="inlineStr"/>
      <c r="K154" s="2" t="inlineStr">
        <is>
          <t>解決済</t>
        </is>
      </c>
      <c r="L154" s="2" t="inlineStr"/>
      <c r="M154" s="2" t="inlineStr">
        <is>
          <t>以下のいずれかを決定してFR-009 line 905-910・line 962に反映する。① matchedピークは主ピーク候補から除外する（「AZ内にSOTAサミットがいるピーク（matched）はdelete_zone内に別のサミットがいても主ピークにならない」制約を追加）。② matchedかつ主ピークになるケースを許容し、フィーチャ構成にdeleteサミットPoint・LineStringを追加する記述を加える。</t>
        </is>
      </c>
      <c r="N154" s="2" t="inlineStr"/>
      <c r="O154" s="2" t="inlineStr">
        <is>
          <t>2026-06-28</t>
        </is>
      </c>
      <c r="P154" s="2" t="inlineStr">
        <is>
          <t>2026-06-29</t>
        </is>
      </c>
    </row>
    <row r="155" ht="40" customHeight="1">
      <c r="A155" s="2" t="inlineStr">
        <is>
          <t>ISSUE-155</t>
        </is>
      </c>
      <c r="B155" s="2" t="inlineStr">
        <is>
          <t>ADR-042 シナリオD で削除申請データ取りこぼし問題の再決定（ADR-043 + SRS 反映）</t>
        </is>
      </c>
      <c r="C155" s="2" t="inlineStr">
        <is>
          <t>ADR-SRS-042（matched ピークを delete サミット主ピーク候補から除外）はシナリオD（AZ内1サミット＋delete_zone内1サミットが同一ピークに存在）で削除申請データを取りこぼす。九州・四国解析で実際に1件発生済み。matched ピークも主ピーク候補に含め、dominant_peak_code に matched ピークの既存 SOTA コードを付与して削除申請を自動生成する軽量修正に方針変更する。</t>
        </is>
      </c>
      <c r="D155" s="2" t="inlineStr">
        <is>
          <t>設計</t>
        </is>
      </c>
      <c r="E155" s="3" t="inlineStr">
        <is>
          <t>高</t>
        </is>
      </c>
      <c r="F155" s="2" t="inlineStr">
        <is>
          <t>その他</t>
        </is>
      </c>
      <c r="G155" s="2" t="inlineStr">
        <is>
          <t>Sonnet</t>
        </is>
      </c>
      <c r="H155" s="2" t="inlineStr">
        <is>
          <t>2026-06-29</t>
        </is>
      </c>
      <c r="I155" s="2" t="inlineStr">
        <is>
          <t>SRS</t>
        </is>
      </c>
      <c r="J155" s="2" t="inlineStr"/>
      <c r="K155" s="2" t="inlineStr">
        <is>
          <t>解決済</t>
        </is>
      </c>
      <c r="L155" s="2" t="inlineStr"/>
      <c r="M155" s="2" t="inlineStr">
        <is>
          <t>新規 ADR-SRS-043 で ADR-042 を supersede。FR-009 主ピーク特定ロジックの matched 除外を撤回し、matched フィーチャ構成に従属 delete サミット Point/LineString を追加定義する。</t>
        </is>
      </c>
      <c r="N155" s="2" t="inlineStr"/>
      <c r="O155" s="2" t="inlineStr">
        <is>
          <t>2026-06-29</t>
        </is>
      </c>
      <c r="P155" s="2" t="inlineStr">
        <is>
          <t>2026-06-29</t>
        </is>
      </c>
    </row>
    <row r="156" ht="40" customHeight="1">
      <c r="A156" s="6" t="inlineStr">
        <is>
          <t>ISSUE-156</t>
        </is>
      </c>
      <c r="B156" s="6" t="inlineStr">
        <is>
          <t>申請カテゴリをプロパティ化し FR-009 フィーチャ構成表をサミット中心5分類へ再編</t>
        </is>
      </c>
      <c r="C156" s="6" t="inlineStr">
        <is>
          <t>FR-009 の merged_summit.geojson フィーチャ構成表が peak.match_status 軸で書かれており、サミット中心の申請カテゴリ（追加/変更あり/変更なし/削除/要確認）が直読できない。category プロパティを GeoJSON・XLSX・ZIP 全成果物に統一して持たせ、消費側の実行時導出を廃止する。ADR-SRS-035 を supersede する ADR-SRS-044 を新規作成し、FR-009/011/012/013/019/020/021・GLOSSARY を改訂する。</t>
        </is>
      </c>
      <c r="D156" s="6" t="inlineStr">
        <is>
          <t>設計</t>
        </is>
      </c>
      <c r="E156" s="4" t="inlineStr">
        <is>
          <t>中</t>
        </is>
      </c>
      <c r="F156" s="6" t="inlineStr"/>
      <c r="G156" s="6" t="inlineStr">
        <is>
          <t>Sonnet</t>
        </is>
      </c>
      <c r="H156" s="6" t="inlineStr">
        <is>
          <t>2026-06-29</t>
        </is>
      </c>
      <c r="I156" s="6" t="inlineStr">
        <is>
          <t>SRS</t>
        </is>
      </c>
      <c r="J156" s="6" t="inlineStr"/>
      <c r="K156" s="6" t="inlineStr">
        <is>
          <t>対応完了</t>
        </is>
      </c>
      <c r="L156" s="6" t="inlineStr"/>
      <c r="M156" s="6" t="inlineStr"/>
      <c r="N156" s="6" t="inlineStr"/>
      <c r="O156" s="6" t="inlineStr">
        <is>
          <t>2026-06-29</t>
        </is>
      </c>
      <c r="P156" s="6" t="inlineStr"/>
    </row>
    <row r="157" ht="40" customHeight="1">
      <c r="A157" s="7" t="inlineStr">
        <is>
          <t>ISSUE-157</t>
        </is>
      </c>
      <c r="B157" s="7" t="inlineStr">
        <is>
          <t>FR-009: コル（key_col）プロパティ定義に municipality を追加</t>
        </is>
      </c>
      <c r="C157" s="7" t="inlineStr">
        <is>
          <t>merged_summit.geojson の Point フィーチャのうち、ピーク・サミットには municipality が付与されるが、コル（key_col）の properties 定義から漏れている。コル自身の座標で point-in-polygon 判定して municipality を付与する仕様に改訂する。</t>
        </is>
      </c>
      <c r="D157" s="7" t="inlineStr">
        <is>
          <t>改善</t>
        </is>
      </c>
      <c r="E157" s="4" t="inlineStr">
        <is>
          <t>中</t>
        </is>
      </c>
      <c r="F157" s="7" t="inlineStr">
        <is>
          <t>GeoJSON出力</t>
        </is>
      </c>
      <c r="G157" s="7" t="inlineStr">
        <is>
          <t>Sonnet</t>
        </is>
      </c>
      <c r="H157" s="7" t="inlineStr">
        <is>
          <t>2026-06-29</t>
        </is>
      </c>
      <c r="I157" s="7" t="inlineStr">
        <is>
          <t>SRS</t>
        </is>
      </c>
      <c r="J157" s="7" t="inlineStr"/>
      <c r="K157" s="7" t="inlineStr">
        <is>
          <t>対応完了</t>
        </is>
      </c>
      <c r="L157" s="7" t="inlineStr"/>
      <c r="M157" s="7" t="inlineStr"/>
      <c r="N157" s="7" t="inlineStr"/>
      <c r="O157" s="7" t="inlineStr">
        <is>
          <t>2026-06-29</t>
        </is>
      </c>
      <c r="P157" s="7" t="inlineStr"/>
    </row>
    <row r="158" ht="40" customHeight="1">
      <c r="A158" s="6" t="inlineStr">
        <is>
          <t>ISSUE-158</t>
        </is>
      </c>
      <c r="B158" s="6" t="inlineStr">
        <is>
          <t>FR-009/FR-012 サミット一覧 XLSX の行集約生成モデルが SRS 未定義</t>
        </is>
      </c>
      <c r="C158" s="6" t="inlineStr">
        <is>
          <t>merged_summit.geojson は複数フィーチャ（ピーク Point／コル Point／AZ Polygon／既存サミット Point／LineString）を持つ。FR-009 の merged_summit.xlsx（サミット一覧（突合後））と FR-012 の merged_summit_revised.xlsx（申請内容反映版）はこれらを 1 行（＝1 ピーククラスタ想定）に集約してカラム化するが、(a) 行の単位（集約単位か Point 毎か）、(b) 結合キー（summit_code 等）、(c) 各カラムの取得元フィーチャ（peak_*/col_*/sota_* ＝各 Point geometry、area_complete ＝ AZ Polygon properties、dominant の sota_* ＝ dominant_peak_code 経由）が SRS 未定義。FR-012 概要は「Point フィーチャのみが行に変換される」（SRS 1298行）としか書かず集約モデルが欠落している。FR-012 は「FR-009 と同じ作り方＋ユーザー編集反映」なので、FR-009 側の行集約モデルが決まれば FR-012 は従属的に決まる。</t>
        </is>
      </c>
      <c r="D158" s="6" t="inlineStr">
        <is>
          <t>設計</t>
        </is>
      </c>
      <c r="E158" s="3" t="inlineStr">
        <is>
          <t>高</t>
        </is>
      </c>
      <c r="F158" s="6" t="inlineStr">
        <is>
          <t>その他</t>
        </is>
      </c>
      <c r="G158" s="6" t="inlineStr"/>
      <c r="H158" s="6" t="inlineStr">
        <is>
          <t>2026-06-29</t>
        </is>
      </c>
      <c r="I158" s="6" t="inlineStr">
        <is>
          <t>SRS</t>
        </is>
      </c>
      <c r="J158" s="6" t="inlineStr"/>
      <c r="K158" s="6" t="inlineStr">
        <is>
          <t>未対応</t>
        </is>
      </c>
      <c r="L158" s="6" t="inlineStr"/>
      <c r="M158" s="6" t="inlineStr">
        <is>
          <t>FR-009 を行集約モデルの正本として XLSX 行生成モデルを定義し、FR-012 はそれを参照する形で記述する。必要なら ADR 化（ADR-SRS-041「geojson スキーマ拡張で全カラム生成可能」の前提を補完）。</t>
        </is>
      </c>
      <c r="N158" s="6" t="inlineStr"/>
      <c r="O158" s="6" t="inlineStr"/>
      <c r="P158" s="6" t="inlineStr"/>
    </row>
  </sheetData>
  <dataValidations count="5">
    <dataValidation sqref="K2:K158" showDropDown="0" showInputMessage="0" showErrorMessage="0" allowBlank="1" type="list">
      <formula1>"未対応,対応中,対応完了,解決済,却下"</formula1>
    </dataValidation>
    <dataValidation sqref="E2:E158" showDropDown="0" showInputMessage="0" showErrorMessage="0" allowBlank="1" type="list">
      <formula1>"高,中,低"</formula1>
    </dataValidation>
    <dataValidation sqref="D2:D158" showDropDown="0" showInputMessage="0" showErrorMessage="0" allowBlank="1" type="list">
      <formula1>"改善,調査,設計"</formula1>
    </dataValidation>
    <dataValidation sqref="I2:I158" showDropDown="0" showInputMessage="0" showErrorMessage="0" allowBlank="1" type="list">
      <formula1>"URD,SRS,HLD,LLD,COD,UT,IT,ST,OPS"</formula1>
    </dataValidation>
    <dataValidation sqref="J2:J15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157</v>
      </c>
    </row>
    <row r="3">
      <c r="A3" s="10" t="inlineStr">
        <is>
          <t>未解決件数</t>
        </is>
      </c>
      <c r="B3" s="11" t="n">
        <v>23</v>
      </c>
    </row>
    <row r="4">
      <c r="A4" s="10" t="inlineStr">
        <is>
          <t>解決済件数</t>
        </is>
      </c>
      <c r="B4" s="11" t="n">
        <v>117</v>
      </c>
    </row>
    <row r="5">
      <c r="A5" s="10" t="inlineStr">
        <is>
          <t>解決率</t>
        </is>
      </c>
      <c r="B5" s="11" t="inlineStr">
        <is>
          <t>74.5%</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2</v>
      </c>
    </row>
    <row r="11">
      <c r="A11" s="10" t="inlineStr">
        <is>
          <t>解決済</t>
        </is>
      </c>
      <c r="B11" s="11" t="n">
        <v>117</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12</v>
      </c>
    </row>
    <row r="17">
      <c r="A17" s="10" t="inlineStr">
        <is>
          <t>低</t>
        </is>
      </c>
      <c r="B17" s="11" t="n">
        <v>3</v>
      </c>
    </row>
    <row r="19">
      <c r="A19" s="8" t="inlineStr">
        <is>
          <t>種別別（未解決）</t>
        </is>
      </c>
      <c r="B19" s="9" t="n"/>
    </row>
    <row r="20">
      <c r="A20" s="10" t="inlineStr">
        <is>
          <t>改善</t>
        </is>
      </c>
      <c r="B20" s="11" t="n">
        <v>14</v>
      </c>
    </row>
    <row r="21">
      <c r="A21" s="10" t="inlineStr">
        <is>
          <t>調査</t>
        </is>
      </c>
      <c r="B21" s="11" t="n">
        <v>1</v>
      </c>
    </row>
    <row r="22">
      <c r="A22" s="10" t="inlineStr">
        <is>
          <t>設計</t>
        </is>
      </c>
      <c r="B22" s="11" t="n">
        <v>8</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3</v>
      </c>
    </row>
    <row r="30">
      <c r="A30" s="8" t="inlineStr">
        <is>
          <t>ステージ別（未解決）</t>
        </is>
      </c>
      <c r="B30" s="9" t="n"/>
    </row>
    <row r="31">
      <c r="A31" s="10" t="inlineStr">
        <is>
          <t>SRS</t>
        </is>
      </c>
      <c r="B31" s="11" t="n">
        <v>19</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153</v>
      </c>
      <c r="C64" t="n">
        <v>133</v>
      </c>
      <c r="D64" t="n">
        <v>119</v>
      </c>
    </row>
    <row r="65">
      <c r="A65" t="inlineStr">
        <is>
          <t>2026-06-29</t>
        </is>
      </c>
      <c r="B65" t="n">
        <v>157</v>
      </c>
      <c r="C65" t="n">
        <v>136</v>
      </c>
      <c r="D65" t="n">
        <v>134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2026-06-29T06:26:18Z</dcterms:created>
  <dcterms:modified xsi:type="dcterms:W3CDTF">2026-06-29T06:26:18Z</dcterms:modified>
</cp:coreProperties>
</file>