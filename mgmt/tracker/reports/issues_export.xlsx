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'収束グラフ'!$A$2:$A$54</f>
            </strRef>
          </cat>
          <val>
            <numRef>
              <f>'収束グラフ'!$B$2:$B$54</f>
            </numRef>
          </val>
        </ser>
        <ser>
          <idx val="1"/>
          <order val="1"/>
          <tx>
            <strRef>
              <f>'収束グラフ'!C1</f>
            </strRef>
          </tx>
          <spPr>
            <a:ln w="20000">
              <a:solidFill>
                <a:srgbClr val="4472C4"/>
              </a:solidFill>
              <a:prstDash val="solid"/>
            </a:ln>
          </spPr>
          <marker>
            <symbol val="none"/>
            <spPr>
              <a:ln>
                <a:prstDash val="solid"/>
              </a:ln>
            </spPr>
          </marker>
          <cat>
            <strRef>
              <f>'収束グラフ'!$A$2:$A$54</f>
            </strRef>
          </cat>
          <val>
            <numRef>
              <f>'収束グラフ'!$C$2:$C$54</f>
            </numRef>
          </val>
        </ser>
        <ser>
          <idx val="2"/>
          <order val="2"/>
          <tx>
            <strRef>
              <f>'収束グラフ'!D1</f>
            </strRef>
          </tx>
          <spPr>
            <a:ln w="20000">
              <a:solidFill>
                <a:srgbClr val="70AD47"/>
              </a:solidFill>
              <a:prstDash val="solid"/>
            </a:ln>
          </spPr>
          <marker>
            <symbol val="none"/>
            <spPr>
              <a:ln>
                <a:prstDash val="solid"/>
              </a:ln>
            </spPr>
          </marker>
          <cat>
            <strRef>
              <f>'収束グラフ'!$A$2:$A$54</f>
            </strRef>
          </cat>
          <val>
            <numRef>
              <f>'収束グラフ'!$D$2:$D$54</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6" t="inlineStr">
        <is>
          <t>ISSUE-108</t>
        </is>
      </c>
      <c r="B108" s="6" t="inlineStr">
        <is>
          <t>FR-022 純化・FR-023 解析パイプライン制御新設（SRS反映完了）</t>
        </is>
      </c>
      <c r="C108" s="6"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6" t="inlineStr">
        <is>
          <t>設計</t>
        </is>
      </c>
      <c r="E108" s="3" t="inlineStr">
        <is>
          <t>高</t>
        </is>
      </c>
      <c r="F108" s="6" t="inlineStr">
        <is>
          <t>merge.py</t>
        </is>
      </c>
      <c r="G108" s="6" t="inlineStr"/>
      <c r="H108" s="6" t="inlineStr">
        <is>
          <t>2026-06-18</t>
        </is>
      </c>
      <c r="I108" s="6" t="inlineStr">
        <is>
          <t>SRS</t>
        </is>
      </c>
      <c r="J108" s="6" t="inlineStr"/>
      <c r="K108" s="6" t="inlineStr">
        <is>
          <t>対応完了</t>
        </is>
      </c>
      <c r="L108" s="6" t="inlineStr"/>
      <c r="M108" s="6" t="inlineStr">
        <is>
          <t>ADR-SRS-027・SRS §4.3 新設FR-023・FR-022大幅縮小・FR-014入力変更として反映完了（2026-06-18）。コード追従はtodo.md管理。</t>
        </is>
      </c>
      <c r="N108" s="6" t="inlineStr"/>
      <c r="O108" s="6" t="inlineStr">
        <is>
          <t>2026-06-18</t>
        </is>
      </c>
      <c r="P108" s="6" t="inlineStr"/>
    </row>
    <row r="109" ht="40" customHeight="1">
      <c r="A109" s="7" t="inlineStr">
        <is>
          <t>ISSUE-109</t>
        </is>
      </c>
      <c r="B109" s="7" t="inlineStr">
        <is>
          <t>陸地最高峰海面確定を FR-022→FR-008 に移管（案B、SRS反映完了）</t>
        </is>
      </c>
      <c r="C109" s="7"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7" t="inlineStr">
        <is>
          <t>設計</t>
        </is>
      </c>
      <c r="E109" s="3" t="inlineStr">
        <is>
          <t>高</t>
        </is>
      </c>
      <c r="F109" s="7" t="inlineStr">
        <is>
          <t>merge.py</t>
        </is>
      </c>
      <c r="G109" s="7" t="inlineStr"/>
      <c r="H109" s="7" t="inlineStr">
        <is>
          <t>2026-06-18</t>
        </is>
      </c>
      <c r="I109" s="7" t="inlineStr">
        <is>
          <t>SRS</t>
        </is>
      </c>
      <c r="J109" s="7" t="inlineStr"/>
      <c r="K109" s="7" t="inlineStr">
        <is>
          <t>対応完了</t>
        </is>
      </c>
      <c r="L109" s="7" t="inlineStr"/>
      <c r="M109" s="7" t="inlineStr">
        <is>
          <t>ADR-SRS-027・ADR-SRS-019改訂・SRS FR-008入力追加・7.1.4削除・7.2追加として反映完了（2026-06-18）。コード追従はtodo.md管理。</t>
        </is>
      </c>
      <c r="N109" s="7" t="inlineStr"/>
      <c r="O109" s="7" t="inlineStr">
        <is>
          <t>2026-06-18</t>
        </is>
      </c>
      <c r="P109" s="7" t="inlineStr"/>
    </row>
    <row r="110" ht="40" customHeight="1">
      <c r="A110" s="6" t="inlineStr">
        <is>
          <t>ISSUE-110</t>
        </is>
      </c>
      <c r="B110" s="6" t="inlineStr">
        <is>
          <t>フェーズ番号統一（フェーズ2-1/2-2→フェーズ2/3、SRS反映完了）</t>
        </is>
      </c>
      <c r="C110" s="6"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6" t="inlineStr">
        <is>
          <t>改善</t>
        </is>
      </c>
      <c r="E110" s="4" t="inlineStr">
        <is>
          <t>中</t>
        </is>
      </c>
      <c r="F110" s="6" t="inlineStr">
        <is>
          <t>その他</t>
        </is>
      </c>
      <c r="G110" s="6" t="inlineStr"/>
      <c r="H110" s="6" t="inlineStr">
        <is>
          <t>2026-06-18</t>
        </is>
      </c>
      <c r="I110" s="6" t="inlineStr">
        <is>
          <t>SRS</t>
        </is>
      </c>
      <c r="J110" s="6" t="inlineStr"/>
      <c r="K110" s="6" t="inlineStr">
        <is>
          <t>対応完了</t>
        </is>
      </c>
      <c r="L110" s="6" t="inlineStr"/>
      <c r="M110" s="6" t="inlineStr">
        <is>
          <t>SRS全体のフェーズ表記を統一。旧フェーズ2-1→フェーズ2、旧フェーズ2-2→フェーズ3、旧フェーズ3（統合）→統合時(FR-008)。反映完了（2026-06-18）。</t>
        </is>
      </c>
      <c r="N110" s="6" t="inlineStr"/>
      <c r="O110" s="6" t="inlineStr">
        <is>
          <t>2026-06-18</t>
        </is>
      </c>
      <c r="P110" s="6" t="inlineStr"/>
    </row>
  </sheetData>
  <dataValidations count="5">
    <dataValidation sqref="K2:K110" showDropDown="0" showInputMessage="0" showErrorMessage="0" allowBlank="1" type="list">
      <formula1>"未対応,対応中,対応完了,解決済,却下"</formula1>
    </dataValidation>
    <dataValidation sqref="E2:E110" showDropDown="0" showInputMessage="0" showErrorMessage="0" allowBlank="1" type="list">
      <formula1>"高,中,低"</formula1>
    </dataValidation>
    <dataValidation sqref="D2:D110" showDropDown="0" showInputMessage="0" showErrorMessage="0" allowBlank="1" type="list">
      <formula1>"機能追加,改善,調査,設計"</formula1>
    </dataValidation>
    <dataValidation sqref="I2:I110" showDropDown="0" showInputMessage="0" showErrorMessage="0" allowBlank="1" type="list">
      <formula1>"URD,SRS,HLD,LLD,COD,UT,IT,ST,OPS"</formula1>
    </dataValidation>
    <dataValidation sqref="J2:J110"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109</v>
      </c>
    </row>
    <row r="3">
      <c r="A3" s="10" t="inlineStr">
        <is>
          <t>未解決件数</t>
        </is>
      </c>
      <c r="B3" s="11" t="n">
        <v>25</v>
      </c>
    </row>
    <row r="4">
      <c r="A4" s="10" t="inlineStr">
        <is>
          <t>解決済件数</t>
        </is>
      </c>
      <c r="B4" s="11" t="n">
        <v>67</v>
      </c>
    </row>
    <row r="5">
      <c r="A5" s="10" t="inlineStr">
        <is>
          <t>解決率</t>
        </is>
      </c>
      <c r="B5" s="11" t="inlineStr">
        <is>
          <t>61.5%</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3</v>
      </c>
    </row>
    <row r="11">
      <c r="A11" s="10" t="inlineStr">
        <is>
          <t>解決済</t>
        </is>
      </c>
      <c r="B11" s="11" t="n">
        <v>67</v>
      </c>
    </row>
    <row r="12">
      <c r="A12" s="10" t="inlineStr">
        <is>
          <t>却下</t>
        </is>
      </c>
      <c r="B12" s="11" t="n">
        <v>17</v>
      </c>
    </row>
    <row r="14">
      <c r="A14" s="8" t="inlineStr">
        <is>
          <t>優先度別（未解決）</t>
        </is>
      </c>
      <c r="B14" s="9" t="n"/>
    </row>
    <row r="15">
      <c r="A15" s="10" t="inlineStr">
        <is>
          <t>高</t>
        </is>
      </c>
      <c r="B15" s="11" t="n">
        <v>13</v>
      </c>
    </row>
    <row r="16">
      <c r="A16" s="10" t="inlineStr">
        <is>
          <t>中</t>
        </is>
      </c>
      <c r="B16" s="11" t="n">
        <v>9</v>
      </c>
    </row>
    <row r="17">
      <c r="A17" s="10" t="inlineStr">
        <is>
          <t>低</t>
        </is>
      </c>
      <c r="B17" s="11" t="n">
        <v>3</v>
      </c>
    </row>
    <row r="19">
      <c r="A19" s="8" t="inlineStr">
        <is>
          <t>種別別（未解決）</t>
        </is>
      </c>
      <c r="B19" s="9" t="n"/>
    </row>
    <row r="20">
      <c r="A20" s="10" t="inlineStr">
        <is>
          <t>機能追加</t>
        </is>
      </c>
      <c r="B20" s="11" t="n">
        <v>9</v>
      </c>
    </row>
    <row r="21">
      <c r="A21" s="10" t="inlineStr">
        <is>
          <t>改善</t>
        </is>
      </c>
      <c r="B21" s="11" t="n">
        <v>13</v>
      </c>
    </row>
    <row r="22">
      <c r="A22" s="10" t="inlineStr">
        <is>
          <t>調査</t>
        </is>
      </c>
      <c r="B22" s="11" t="n">
        <v>1</v>
      </c>
    </row>
    <row r="23">
      <c r="A23" s="10" t="inlineStr">
        <is>
          <t>設計</t>
        </is>
      </c>
      <c r="B23" s="11" t="n">
        <v>2</v>
      </c>
    </row>
    <row r="25">
      <c r="A25" s="8" t="inlineStr">
        <is>
          <t>カテゴリ別（未解決）</t>
        </is>
      </c>
      <c r="B25" s="9" t="n"/>
    </row>
    <row r="26">
      <c r="A26" s="10" t="inlineStr">
        <is>
          <t>解析エンジン</t>
        </is>
      </c>
      <c r="B26" s="11" t="n">
        <v>4</v>
      </c>
    </row>
    <row r="27">
      <c r="A27" s="10" t="inlineStr">
        <is>
          <t>merge.py</t>
        </is>
      </c>
      <c r="B27" s="11" t="n">
        <v>4</v>
      </c>
    </row>
    <row r="28">
      <c r="A28" s="10" t="inlineStr">
        <is>
          <t>GeoJSON出力</t>
        </is>
      </c>
      <c r="B28" s="11" t="n">
        <v>3</v>
      </c>
    </row>
    <row r="29">
      <c r="A29" s="10" t="inlineStr">
        <is>
          <t>その他</t>
        </is>
      </c>
      <c r="B29" s="11" t="n">
        <v>5</v>
      </c>
    </row>
    <row r="31">
      <c r="A31" s="8" t="inlineStr">
        <is>
          <t>ステージ別（未解決）</t>
        </is>
      </c>
      <c r="B31" s="9" t="n"/>
    </row>
    <row r="32">
      <c r="A32" s="10" t="inlineStr">
        <is>
          <t>SRS</t>
        </is>
      </c>
      <c r="B32" s="11" t="n">
        <v>23</v>
      </c>
    </row>
    <row r="33">
      <c r="A33" s="10" t="inlineStr">
        <is>
          <t>HLD</t>
        </is>
      </c>
      <c r="B33" s="11" t="n">
        <v>1</v>
      </c>
    </row>
    <row r="34">
      <c r="A34" s="10" t="inlineStr">
        <is>
          <t>COD</t>
        </is>
      </c>
      <c r="B34"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65</v>
      </c>
      <c r="D51" t="n">
        <v>76</v>
      </c>
    </row>
    <row r="52">
      <c r="A52" t="inlineStr">
        <is>
          <t>2026-06-16</t>
        </is>
      </c>
      <c r="B52" t="n">
        <v>105</v>
      </c>
      <c r="C52" t="n">
        <v>68</v>
      </c>
      <c r="D52" t="n">
        <v>76</v>
      </c>
    </row>
    <row r="53">
      <c r="A53" t="inlineStr">
        <is>
          <t>2026-06-17</t>
        </is>
      </c>
      <c r="B53" t="n">
        <v>106</v>
      </c>
      <c r="C53" t="n">
        <v>69</v>
      </c>
      <c r="D53" t="n">
        <v>76</v>
      </c>
    </row>
    <row r="54">
      <c r="A54" t="inlineStr">
        <is>
          <t>2026-06-18</t>
        </is>
      </c>
      <c r="B54" t="n">
        <v>109</v>
      </c>
      <c r="C54" t="n">
        <v>73</v>
      </c>
      <c r="D54" t="n">
        <v>84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2026-06-18T05:02:11Z</dcterms:created>
  <dcterms:modified xsi:type="dcterms:W3CDTF">2026-06-18T05:02:11Z</dcterms:modified>
</cp:coreProperties>
</file>