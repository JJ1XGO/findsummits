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'収束グラフ'!$A$2:$A$48</f>
            </strRef>
          </cat>
          <val>
            <numRef>
              <f>'収束グラフ'!$B$2:$B$48</f>
            </numRef>
          </val>
        </ser>
        <ser>
          <idx val="1"/>
          <order val="1"/>
          <tx>
            <strRef>
              <f>'収束グラフ'!C1</f>
            </strRef>
          </tx>
          <spPr>
            <a:ln w="20000">
              <a:solidFill>
                <a:srgbClr val="4472C4"/>
              </a:solidFill>
              <a:prstDash val="solid"/>
            </a:ln>
          </spPr>
          <marker>
            <symbol val="none"/>
            <spPr>
              <a:ln>
                <a:prstDash val="solid"/>
              </a:ln>
            </spPr>
          </marker>
          <cat>
            <strRef>
              <f>'収束グラフ'!$A$2:$A$48</f>
            </strRef>
          </cat>
          <val>
            <numRef>
              <f>'収束グラフ'!$C$2:$C$48</f>
            </numRef>
          </val>
        </ser>
        <ser>
          <idx val="2"/>
          <order val="2"/>
          <tx>
            <strRef>
              <f>'収束グラフ'!D1</f>
            </strRef>
          </tx>
          <spPr>
            <a:ln w="20000">
              <a:solidFill>
                <a:srgbClr val="70AD47"/>
              </a:solidFill>
              <a:prstDash val="solid"/>
            </a:ln>
          </spPr>
          <marker>
            <symbol val="none"/>
            <spPr>
              <a:ln>
                <a:prstDash val="solid"/>
              </a:ln>
            </spPr>
          </marker>
          <cat>
            <strRef>
              <f>'収束グラフ'!$A$2:$A$48</f>
            </strRef>
          </cat>
          <val>
            <numRef>
              <f>'収束グラフ'!$D$2:$D$48</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フェーズ3（FR-014）: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6" t="inlineStr">
        <is>
          <t>ISSUE-075</t>
        </is>
      </c>
      <c r="B76" s="6" t="inlineStr">
        <is>
          <t>FR-004/FR-014 責務分担変更 + ADR-SRS-004 更新</t>
        </is>
      </c>
      <c r="C76" s="6"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6" t="inlineStr">
        <is>
          <t>改善</t>
        </is>
      </c>
      <c r="E76" s="4" t="inlineStr">
        <is>
          <t>中</t>
        </is>
      </c>
      <c r="F76" s="6" t="inlineStr"/>
      <c r="G76" s="6" t="inlineStr"/>
      <c r="H76" s="6" t="inlineStr">
        <is>
          <t>2026-06-04</t>
        </is>
      </c>
      <c r="I76" s="6" t="inlineStr">
        <is>
          <t>SRS</t>
        </is>
      </c>
      <c r="J76" s="6" t="inlineStr">
        <is>
          <t>SRS</t>
        </is>
      </c>
      <c r="K76" s="6" t="inlineStr">
        <is>
          <t>対応完了</t>
        </is>
      </c>
      <c r="L76" s="6" t="inlineStr"/>
      <c r="M76" s="6" t="inlineStr"/>
      <c r="N76" s="6" t="inlineStr">
        <is>
          <t>完了後、ISSUE-087（SRS FR-005 ピーク候補検出のレビュー反映）に着手すること。FR-005 観点 L（制御フロー・オーケストレーション所在）の確定は本 ISSUE の再編結果に依存する。</t>
        </is>
      </c>
      <c r="O76" s="6" t="inlineStr">
        <is>
          <t>2026-06-09</t>
        </is>
      </c>
      <c r="P76" s="6" t="inlineStr"/>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7" t="inlineStr">
        <is>
          <t>ISSUE-082</t>
        </is>
      </c>
      <c r="B83" s="7" t="inlineStr">
        <is>
          <t>SRS/URD 全体の裸 FR-XXX/UR-XXX/NFR-XXX 参照の一括リンク化</t>
        </is>
      </c>
      <c r="C83" s="7"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7" t="inlineStr">
        <is>
          <t>改善</t>
        </is>
      </c>
      <c r="E83" s="5" t="inlineStr">
        <is>
          <t>低</t>
        </is>
      </c>
      <c r="F83" s="7" t="inlineStr"/>
      <c r="G83" s="7" t="inlineStr"/>
      <c r="H83" s="7" t="inlineStr">
        <is>
          <t>2026-06-08</t>
        </is>
      </c>
      <c r="I83" s="7" t="inlineStr">
        <is>
          <t>SRS</t>
        </is>
      </c>
      <c r="J83" s="7" t="inlineStr"/>
      <c r="K83" s="7" t="inlineStr">
        <is>
          <t>未対応</t>
        </is>
      </c>
      <c r="L83" s="7" t="inlineStr"/>
      <c r="M83" s="7" t="inlineStr"/>
      <c r="N83" s="7" t="inlineStr">
        <is>
          <t>FR-015 レビュー（観点 G）の別 ISSUE として登録。CLAUDE.md のフォーマット標準『他 FR/UR/NFR/セクションへの参照は Markdown リンクで記述する』が根拠</t>
        </is>
      </c>
      <c r="O83" s="7" t="inlineStr"/>
      <c r="P83" s="7" t="inlineStr"/>
    </row>
    <row r="84" ht="40" customHeight="1">
      <c r="A84" s="6" t="inlineStr">
        <is>
          <t>ISSUE-083</t>
        </is>
      </c>
      <c r="B84" s="6" t="inlineStr">
        <is>
          <t>SRS 全 FR の入出力テーブル形式欄の一括見直し</t>
        </is>
      </c>
      <c r="C84" s="6"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6" t="inlineStr">
        <is>
          <t>改善</t>
        </is>
      </c>
      <c r="E84" s="5" t="inlineStr">
        <is>
          <t>低</t>
        </is>
      </c>
      <c r="F84" s="6" t="inlineStr"/>
      <c r="G84" s="6" t="inlineStr"/>
      <c r="H84" s="6" t="inlineStr">
        <is>
          <t>2026-06-08</t>
        </is>
      </c>
      <c r="I84" s="6" t="inlineStr">
        <is>
          <t>SRS</t>
        </is>
      </c>
      <c r="J84" s="6" t="inlineStr"/>
      <c r="K84" s="6" t="inlineStr">
        <is>
          <t>未対応</t>
        </is>
      </c>
      <c r="L84" s="6" t="inlineStr"/>
      <c r="M84" s="6" t="inlineStr"/>
      <c r="N84" s="6" t="inlineStr">
        <is>
          <t>FR-015 レビュー（観点 I）の別 ISSUE として登録。CLAUDE.md のフォーマット標準『入出力テーブルの形式欄はファイル形式・データ型のみを記載する』が根拠</t>
        </is>
      </c>
      <c r="O84" s="6" t="inlineStr"/>
      <c r="P84" s="6" t="inlineStr"/>
    </row>
    <row r="85" ht="40" customHeight="1">
      <c r="A85" s="7" t="inlineStr">
        <is>
          <t>ISSUE-084</t>
        </is>
      </c>
      <c r="B85" s="7" t="inlineStr">
        <is>
          <t>ピーク候補リスト・コル情報の内部トランザクション化検討</t>
        </is>
      </c>
      <c r="C85" s="7"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7" t="inlineStr">
        <is>
          <t>設計</t>
        </is>
      </c>
      <c r="E85" s="5" t="inlineStr">
        <is>
          <t>低</t>
        </is>
      </c>
      <c r="F85" s="7" t="inlineStr"/>
      <c r="G85" s="7" t="inlineStr"/>
      <c r="H85" s="7" t="inlineStr">
        <is>
          <t>2026-06-08</t>
        </is>
      </c>
      <c r="I85" s="7" t="inlineStr">
        <is>
          <t>SRS</t>
        </is>
      </c>
      <c r="J85" s="7" t="inlineStr"/>
      <c r="K85" s="7" t="inlineStr">
        <is>
          <t>未対応</t>
        </is>
      </c>
      <c r="L85" s="7" t="inlineStr"/>
      <c r="M85" s="7" t="inlineStr"/>
      <c r="N85" s="7" t="inlineStr">
        <is>
          <t>FR-015 レビュー（観点 H）の別 ISSUE として登録。解析範囲結合画像の内部トランザクション化（ISSUE-083 相当修正）との一貫性検討として登録</t>
        </is>
      </c>
      <c r="O85" s="7" t="inlineStr"/>
      <c r="P85" s="7" t="inlineStr"/>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7" t="inlineStr">
        <is>
          <t>ISSUE-086</t>
        </is>
      </c>
      <c r="B87" s="7" t="inlineStr">
        <is>
          <t>mesh_analyze.h 内コメント「Terrain-RGB PNG」の修正</t>
        </is>
      </c>
      <c r="C87" s="7"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7" t="inlineStr">
        <is>
          <t>改善</t>
        </is>
      </c>
      <c r="E87" s="5" t="inlineStr">
        <is>
          <t>低</t>
        </is>
      </c>
      <c r="F87" s="7" t="inlineStr"/>
      <c r="G87" s="7" t="inlineStr"/>
      <c r="H87" s="7" t="inlineStr">
        <is>
          <t>2026-06-08</t>
        </is>
      </c>
      <c r="I87" s="7" t="inlineStr">
        <is>
          <t>COD</t>
        </is>
      </c>
      <c r="J87" s="7" t="inlineStr"/>
      <c r="K87" s="7" t="inlineStr">
        <is>
          <t>未対応</t>
        </is>
      </c>
      <c r="L87" s="7" t="inlineStr"/>
      <c r="M87" s="7" t="inlineStr"/>
      <c r="N87" s="7" t="inlineStr">
        <is>
          <t>FR-015 レビュー（観点 B 実装側追従）の別 ISSUE として登録</t>
        </is>
      </c>
      <c r="O87" s="7" t="inlineStr"/>
      <c r="P87" s="7" t="inlineStr"/>
    </row>
    <row r="88" ht="40" customHeight="1">
      <c r="A88" s="6" t="inlineStr">
        <is>
          <t>ISSUE-087</t>
        </is>
      </c>
      <c r="B88" s="6" t="inlineStr">
        <is>
          <t>SRS FR-005 ピーク候補検出のレビュー反映</t>
        </is>
      </c>
      <c r="C88" s="6"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6" t="inlineStr">
        <is>
          <t>改善</t>
        </is>
      </c>
      <c r="E88" s="4" t="inlineStr">
        <is>
          <t>中</t>
        </is>
      </c>
      <c r="F88" s="6" t="inlineStr"/>
      <c r="G88" s="6" t="inlineStr">
        <is>
          <t>JJ1XGO</t>
        </is>
      </c>
      <c r="H88" s="6" t="inlineStr">
        <is>
          <t>2026-06-09</t>
        </is>
      </c>
      <c r="I88" s="6" t="inlineStr">
        <is>
          <t>SRS</t>
        </is>
      </c>
      <c r="J88" s="6" t="inlineStr">
        <is>
          <t>SRS</t>
        </is>
      </c>
      <c r="K88" s="6" t="inlineStr">
        <is>
          <t>未対応</t>
        </is>
      </c>
      <c r="L88" s="6" t="inlineStr"/>
      <c r="M88" s="6" t="inlineStr"/>
      <c r="N88" s="6" t="inlineStr"/>
      <c r="O88" s="6" t="inlineStr"/>
      <c r="P88" s="6" t="inlineStr"/>
    </row>
    <row r="89" ht="40" customHeight="1">
      <c r="A89" s="7" t="inlineStr">
        <is>
          <t>ISSUE-088</t>
        </is>
      </c>
      <c r="B89" s="7" t="inlineStr">
        <is>
          <t>SRS FR-004 メッシュ結合解析のレビュー反映</t>
        </is>
      </c>
      <c r="C89" s="7"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7" t="inlineStr">
        <is>
          <t>改善</t>
        </is>
      </c>
      <c r="E89" s="4" t="inlineStr">
        <is>
          <t>中</t>
        </is>
      </c>
      <c r="F89" s="7" t="inlineStr">
        <is>
          <t>その他</t>
        </is>
      </c>
      <c r="G89" s="7" t="inlineStr">
        <is>
          <t>JJ1XGO</t>
        </is>
      </c>
      <c r="H89" s="7" t="inlineStr">
        <is>
          <t>2026-06-11</t>
        </is>
      </c>
      <c r="I89" s="7" t="inlineStr">
        <is>
          <t>SRS</t>
        </is>
      </c>
      <c r="J89" s="7" t="inlineStr">
        <is>
          <t>SRS</t>
        </is>
      </c>
      <c r="K89" s="7" t="inlineStr">
        <is>
          <t>対応完了</t>
        </is>
      </c>
      <c r="L89" s="7" t="inlineStr">
        <is>
          <t>Fable</t>
        </is>
      </c>
      <c r="M89" s="7" t="inlineStr">
        <is>
          <t>SRS FR-004 セクション・FR-007（観点 D）・ADR-SRS-003（観点 A）を修正し、処理フロー図を追加する</t>
        </is>
      </c>
      <c r="N89" s="7" t="inlineStr"/>
      <c r="O89" s="7" t="inlineStr">
        <is>
          <t>2026-06-11</t>
        </is>
      </c>
      <c r="P89" s="7" t="inlineStr"/>
    </row>
    <row r="90" ht="40" customHeight="1">
      <c r="A90" s="6" t="inlineStr">
        <is>
          <t>ISSUE-089</t>
        </is>
      </c>
      <c r="B90" s="6" t="inlineStr">
        <is>
          <t>SRS FR-004 第2回レビュー反映（タイトル・入力・解析識別子・異常系）</t>
        </is>
      </c>
      <c r="C90" s="6"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6" t="inlineStr"/>
      <c r="E90" s="4" t="inlineStr">
        <is>
          <t>中</t>
        </is>
      </c>
      <c r="F90" s="6" t="inlineStr">
        <is>
          <t>その他</t>
        </is>
      </c>
      <c r="G90" s="6" t="inlineStr"/>
      <c r="H90" s="6" t="inlineStr">
        <is>
          <t>2026-06-12</t>
        </is>
      </c>
      <c r="I90" s="6" t="inlineStr"/>
      <c r="J90" s="6" t="inlineStr"/>
      <c r="K90" s="6" t="inlineStr">
        <is>
          <t>対応完了</t>
        </is>
      </c>
      <c r="L90" s="6" t="inlineStr"/>
      <c r="M90" s="6" t="inlineStr"/>
      <c r="N90" s="6" t="inlineStr"/>
      <c r="O90" s="6" t="inlineStr">
        <is>
          <t>2026-06-12</t>
        </is>
      </c>
      <c r="P90" s="6" t="inlineStr"/>
    </row>
  </sheetData>
  <dataValidations count="5">
    <dataValidation sqref="K2:K90" showDropDown="0" showInputMessage="0" showErrorMessage="0" allowBlank="1" type="list">
      <formula1>"未対応,対応中,対応完了,解決済,却下"</formula1>
    </dataValidation>
    <dataValidation sqref="E2:E90" showDropDown="0" showInputMessage="0" showErrorMessage="0" allowBlank="1" type="list">
      <formula1>"高,中,低"</formula1>
    </dataValidation>
    <dataValidation sqref="D2:D90" showDropDown="0" showInputMessage="0" showErrorMessage="0" allowBlank="1" type="list">
      <formula1>"機能追加,改善,調査,設計"</formula1>
    </dataValidation>
    <dataValidation sqref="I2:I90" showDropDown="0" showInputMessage="0" showErrorMessage="0" allowBlank="1" type="list">
      <formula1>"URD,SRS,HLD,LLD,COD,UT,IT,ST,OPS"</formula1>
    </dataValidation>
    <dataValidation sqref="J2:J90"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89</v>
      </c>
    </row>
    <row r="3">
      <c r="A3" s="10" t="inlineStr">
        <is>
          <t>未解決件数</t>
        </is>
      </c>
      <c r="B3" s="11" t="n">
        <v>30</v>
      </c>
    </row>
    <row r="4">
      <c r="A4" s="10" t="inlineStr">
        <is>
          <t>解決済件数</t>
        </is>
      </c>
      <c r="B4" s="11" t="n">
        <v>42</v>
      </c>
    </row>
    <row r="5">
      <c r="A5" s="10" t="inlineStr">
        <is>
          <t>解決率</t>
        </is>
      </c>
      <c r="B5" s="11" t="inlineStr">
        <is>
          <t>47.2%</t>
        </is>
      </c>
    </row>
    <row r="7">
      <c r="A7" s="8" t="inlineStr">
        <is>
          <t>ステータス別</t>
        </is>
      </c>
      <c r="B7" s="9" t="n"/>
    </row>
    <row r="8">
      <c r="A8" s="10" t="inlineStr">
        <is>
          <t>未対応</t>
        </is>
      </c>
      <c r="B8" s="11" t="n">
        <v>27</v>
      </c>
    </row>
    <row r="9">
      <c r="A9" s="10" t="inlineStr">
        <is>
          <t>対応中</t>
        </is>
      </c>
      <c r="B9" s="11" t="n">
        <v>0</v>
      </c>
    </row>
    <row r="10">
      <c r="A10" s="10" t="inlineStr">
        <is>
          <t>対応完了</t>
        </is>
      </c>
      <c r="B10" s="11" t="n">
        <v>3</v>
      </c>
    </row>
    <row r="11">
      <c r="A11" s="10" t="inlineStr">
        <is>
          <t>解決済</t>
        </is>
      </c>
      <c r="B11" s="11" t="n">
        <v>42</v>
      </c>
    </row>
    <row r="12">
      <c r="A12" s="10" t="inlineStr">
        <is>
          <t>却下</t>
        </is>
      </c>
      <c r="B12" s="11" t="n">
        <v>17</v>
      </c>
    </row>
    <row r="14">
      <c r="A14" s="8" t="inlineStr">
        <is>
          <t>優先度別（未解決）</t>
        </is>
      </c>
      <c r="B14" s="9" t="n"/>
    </row>
    <row r="15">
      <c r="A15" s="10" t="inlineStr">
        <is>
          <t>高</t>
        </is>
      </c>
      <c r="B15" s="11" t="n">
        <v>11</v>
      </c>
    </row>
    <row r="16">
      <c r="A16" s="10" t="inlineStr">
        <is>
          <t>中</t>
        </is>
      </c>
      <c r="B16" s="11" t="n">
        <v>12</v>
      </c>
    </row>
    <row r="17">
      <c r="A17" s="10" t="inlineStr">
        <is>
          <t>低</t>
        </is>
      </c>
      <c r="B17" s="11" t="n">
        <v>7</v>
      </c>
    </row>
    <row r="19">
      <c r="A19" s="8" t="inlineStr">
        <is>
          <t>種別別（未解決）</t>
        </is>
      </c>
      <c r="B19" s="9" t="n"/>
    </row>
    <row r="20">
      <c r="A20" s="10" t="inlineStr">
        <is>
          <t>機能追加</t>
        </is>
      </c>
      <c r="B20" s="11" t="n">
        <v>9</v>
      </c>
    </row>
    <row r="21">
      <c r="A21" s="10" t="inlineStr">
        <is>
          <t>改善</t>
        </is>
      </c>
      <c r="B21" s="11" t="n">
        <v>18</v>
      </c>
    </row>
    <row r="22">
      <c r="A22" s="10" t="inlineStr">
        <is>
          <t>調査</t>
        </is>
      </c>
      <c r="B22" s="11" t="n">
        <v>1</v>
      </c>
    </row>
    <row r="23">
      <c r="A23" s="10" t="inlineStr">
        <is>
          <t>設計</t>
        </is>
      </c>
      <c r="B23" s="11" t="n">
        <v>1</v>
      </c>
    </row>
    <row r="25">
      <c r="A25" s="8" t="inlineStr">
        <is>
          <t>カテゴリ別（未解決）</t>
        </is>
      </c>
      <c r="B25" s="9" t="n"/>
    </row>
    <row r="26">
      <c r="A26" s="10" t="inlineStr">
        <is>
          <t>解析エンジン</t>
        </is>
      </c>
      <c r="B26" s="11" t="n">
        <v>4</v>
      </c>
    </row>
    <row r="27">
      <c r="A27" s="10" t="inlineStr">
        <is>
          <t>merge.py</t>
        </is>
      </c>
      <c r="B27" s="11" t="n">
        <v>2</v>
      </c>
    </row>
    <row r="28">
      <c r="A28" s="10" t="inlineStr">
        <is>
          <t>GeoJSON出力</t>
        </is>
      </c>
      <c r="B28" s="11" t="n">
        <v>3</v>
      </c>
    </row>
    <row r="29">
      <c r="A29" s="10" t="inlineStr">
        <is>
          <t>その他</t>
        </is>
      </c>
      <c r="B29" s="11" t="n">
        <v>6</v>
      </c>
    </row>
    <row r="31">
      <c r="A31" s="8" t="inlineStr">
        <is>
          <t>ステージ別（未解決）</t>
        </is>
      </c>
      <c r="B31" s="9" t="n"/>
    </row>
    <row r="32">
      <c r="A32" s="10" t="inlineStr">
        <is>
          <t>SRS</t>
        </is>
      </c>
      <c r="B32" s="11" t="n">
        <v>26</v>
      </c>
    </row>
    <row r="33">
      <c r="A33" s="10" t="inlineStr">
        <is>
          <t>HLD</t>
        </is>
      </c>
      <c r="B33" s="11" t="n">
        <v>1</v>
      </c>
    </row>
    <row r="34">
      <c r="A34" s="10" t="inlineStr">
        <is>
          <t>COD</t>
        </is>
      </c>
      <c r="B34" s="11" t="n">
        <v>2</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8"/>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89</v>
      </c>
      <c r="C48" t="n">
        <v>48</v>
      </c>
      <c r="D48" t="n">
        <v>59</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2026-06-12T01:13:26Z</dcterms:created>
  <dcterms:modified xsi:type="dcterms:W3CDTF">2026-06-12T01:13:27Z</dcterms:modified>
</cp:coreProperties>
</file>