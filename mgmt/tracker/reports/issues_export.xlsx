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'収束グラフ'!$A$2:$A$27</f>
            </strRef>
          </cat>
          <val>
            <numRef>
              <f>'収束グラフ'!$B$2:$B$27</f>
            </numRef>
          </val>
        </ser>
        <ser>
          <idx val="1"/>
          <order val="1"/>
          <tx>
            <strRef>
              <f>'収束グラフ'!C1</f>
            </strRef>
          </tx>
          <spPr>
            <a:ln w="20000">
              <a:solidFill>
                <a:srgbClr val="4472C4"/>
              </a:solidFill>
              <a:prstDash val="solid"/>
            </a:ln>
          </spPr>
          <marker>
            <symbol val="none"/>
            <spPr>
              <a:ln>
                <a:prstDash val="solid"/>
              </a:ln>
            </spPr>
          </marker>
          <cat>
            <strRef>
              <f>'収束グラフ'!$A$2:$A$27</f>
            </strRef>
          </cat>
          <val>
            <numRef>
              <f>'収束グラフ'!$C$2:$C$27</f>
            </numRef>
          </val>
        </ser>
        <ser>
          <idx val="2"/>
          <order val="2"/>
          <tx>
            <strRef>
              <f>'収束グラフ'!D1</f>
            </strRef>
          </tx>
          <spPr>
            <a:ln w="20000">
              <a:solidFill>
                <a:srgbClr val="70AD47"/>
              </a:solidFill>
              <a:prstDash val="solid"/>
            </a:ln>
          </spPr>
          <marker>
            <symbol val="none"/>
            <spPr>
              <a:ln>
                <a:prstDash val="solid"/>
              </a:ln>
            </spPr>
          </marker>
          <cat>
            <strRef>
              <f>'収束グラフ'!$A$2:$A$27</f>
            </strRef>
          </cat>
          <val>
            <numRef>
              <f>'収束グラフ'!$D$2:$D$27</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5" t="inlineStr">
        <is>
          <t>中</t>
        </is>
      </c>
      <c r="F15" s="2" t="inlineStr"/>
      <c r="G15" s="2" t="inlineStr"/>
      <c r="H15" s="2" t="inlineStr">
        <is>
          <t>2026-05-09</t>
        </is>
      </c>
      <c r="I15" s="2" t="inlineStr">
        <is>
          <t>SRS</t>
        </is>
      </c>
      <c r="J15" s="2" t="inlineStr">
        <is>
          <t>解決済</t>
        </is>
      </c>
      <c r="K15" s="2" t="inlineStr"/>
      <c r="L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2" t="inlineStr">
        <is>
          <t>2026-05-10</t>
        </is>
      </c>
      <c r="O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is>
          <t>Sonnet</t>
        </is>
      </c>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is>
          <t>解決済</t>
        </is>
      </c>
      <c r="K20" s="2" t="inlineStr"/>
      <c r="L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N20" s="2" t="inlineStr">
        <is>
          <t>2026-05-20</t>
        </is>
      </c>
      <c r="O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is>
          <t>解決済</t>
        </is>
      </c>
      <c r="K21" s="2" t="inlineStr"/>
      <c r="L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M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N21" s="2" t="inlineStr">
        <is>
          <t>2026-05-21</t>
        </is>
      </c>
      <c r="O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5" t="inlineStr">
        <is>
          <t>中</t>
        </is>
      </c>
      <c r="F22" s="2" t="inlineStr">
        <is>
          <t>merge.py</t>
        </is>
      </c>
      <c r="G22" s="2" t="inlineStr"/>
      <c r="H22" s="2" t="inlineStr">
        <is>
          <t>2026-05-14</t>
        </is>
      </c>
      <c r="I22" s="2" t="inlineStr">
        <is>
          <t>SRS</t>
        </is>
      </c>
      <c r="J22" s="2" t="inlineStr">
        <is>
          <t>解決済</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N22" s="2" t="inlineStr">
        <is>
          <t>2026-05-18</t>
        </is>
      </c>
      <c r="O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5" t="inlineStr">
        <is>
          <t>中</t>
        </is>
      </c>
      <c r="F26" s="2" t="inlineStr">
        <is>
          <t>merge.py</t>
        </is>
      </c>
      <c r="G26" s="2" t="inlineStr"/>
      <c r="H26" s="2" t="inlineStr">
        <is>
          <t>2026-05-14</t>
        </is>
      </c>
      <c r="I26" s="2" t="inlineStr">
        <is>
          <t>SRS</t>
        </is>
      </c>
      <c r="J26" s="2" t="inlineStr">
        <is>
          <t>解決済</t>
        </is>
      </c>
      <c r="K26" s="2" t="inlineStr"/>
      <c r="L26" s="2" t="inlineStr">
        <is>
          <t>FR-009 の用語定義または GLOSSARY で標高バンド境界表を提示する（SOTA 日本支部の正式表を出典として引用）。緯度区分がある場合は区分も含めて表で記述。</t>
        </is>
      </c>
      <c r="M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N26" s="2" t="inlineStr">
        <is>
          <t>2026-05-22</t>
        </is>
      </c>
      <c r="O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SRS</t>
        </is>
      </c>
      <c r="J37" s="7" t="inlineStr">
        <is>
          <t>未対応</t>
        </is>
      </c>
      <c r="K37" s="7" t="inlineStr">
        <is>
          <t>Sonnet</t>
        </is>
      </c>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SRS</t>
        </is>
      </c>
      <c r="J38" s="4" t="inlineStr">
        <is>
          <t>未対応</t>
        </is>
      </c>
      <c r="K38" s="4" t="inlineStr">
        <is>
          <t>Sonnet</t>
        </is>
      </c>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未対応</t>
        </is>
      </c>
      <c r="K39" s="7" t="inlineStr">
        <is>
          <t>Sonnet</t>
        </is>
      </c>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SRS</t>
        </is>
      </c>
      <c r="J40" s="4" t="inlineStr">
        <is>
          <t>未対応</t>
        </is>
      </c>
      <c r="K40" s="4" t="inlineStr">
        <is>
          <t>Sonnet</t>
        </is>
      </c>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未対応</t>
        </is>
      </c>
      <c r="K41" s="7" t="inlineStr">
        <is>
          <t>Sonnet</t>
        </is>
      </c>
      <c r="L41" s="7" t="inlineStr"/>
      <c r="M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SRS</t>
        </is>
      </c>
      <c r="J42" s="4" t="inlineStr">
        <is>
          <t>未対応</t>
        </is>
      </c>
      <c r="K42" s="4" t="inlineStr">
        <is>
          <t>Sonnet</t>
        </is>
      </c>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5" t="inlineStr">
        <is>
          <t>中</t>
        </is>
      </c>
      <c r="F43" s="7" t="inlineStr">
        <is>
          <t>その他</t>
        </is>
      </c>
      <c r="G43" s="7" t="inlineStr">
        <is>
          <t>ユーザー</t>
        </is>
      </c>
      <c r="H43" s="7" t="inlineStr">
        <is>
          <t>2026-05-20</t>
        </is>
      </c>
      <c r="I43" s="7" t="inlineStr">
        <is>
          <t>SRS</t>
        </is>
      </c>
      <c r="J43" s="7" t="inlineStr">
        <is>
          <t>未対応</t>
        </is>
      </c>
      <c r="K43" s="7" t="inlineStr"/>
      <c r="L43" s="7" t="inlineStr"/>
      <c r="M43" s="7" t="inlineStr">
        <is>
          <t>ISSUE-019 のクローズ時にユーザーから登録要望が出た案件。</t>
        </is>
      </c>
      <c r="N43" s="7" t="inlineStr"/>
      <c r="O43" s="7" t="inlineStr"/>
    </row>
    <row r="44" ht="40" customHeight="1">
      <c r="A44" s="4" t="inlineStr">
        <is>
          <t>ISSUE-043</t>
        </is>
      </c>
      <c r="B44" s="4" t="inlineStr">
        <is>
          <t>merge.py: delete判定ゾーン対応（AZ/delete-zone PIP、不備フラグ列、exit code、dominant 改名）</t>
        </is>
      </c>
      <c r="C44" s="4" t="inlineStr">
        <is>
          <t>ADR-011（delete判定ゾーンポリゴン）採用に伴う merge.py の改修。SRS FR-009 / ADR-007 / ADR-008 / ADR-011 の仕様を実装に反映する。</t>
        </is>
      </c>
      <c r="D44" s="4" t="inlineStr">
        <is>
          <t>改善</t>
        </is>
      </c>
      <c r="E44" s="3" t="inlineStr">
        <is>
          <t>高</t>
        </is>
      </c>
      <c r="F44" s="4" t="inlineStr">
        <is>
          <t>merge.py</t>
        </is>
      </c>
      <c r="G44" s="4" t="inlineStr">
        <is>
          <t>JJ1XGO</t>
        </is>
      </c>
      <c r="H44" s="4" t="inlineStr">
        <is>
          <t>2026-05-21</t>
        </is>
      </c>
      <c r="I44" s="4" t="inlineStr">
        <is>
          <t>COD</t>
        </is>
      </c>
      <c r="J44" s="4" t="inlineStr">
        <is>
          <t>未対応</t>
        </is>
      </c>
      <c r="K44" s="4" t="inlineStr"/>
      <c r="L44" s="4" t="inlineStr"/>
      <c r="M44" s="4"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t>
        </is>
      </c>
      <c r="N44" s="4" t="inlineStr"/>
      <c r="O44" s="4"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COD</t>
        </is>
      </c>
      <c r="J45" s="7" t="inlineStr">
        <is>
          <t>未対応</t>
        </is>
      </c>
      <c r="K45" s="7" t="inlineStr"/>
      <c r="L45" s="7" t="inlineStr"/>
      <c r="M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t>
        </is>
      </c>
      <c r="N45" s="7" t="inlineStr"/>
      <c r="O45" s="7" t="inlineStr"/>
    </row>
    <row r="46" ht="40" customHeight="1">
      <c r="A46" s="4" t="inlineStr">
        <is>
          <t>ISSUE-045</t>
        </is>
      </c>
      <c r="B46" s="4" t="inlineStr">
        <is>
          <t>params/config.ini.example: delete_zone_max_drop = 250 パラメータ追加</t>
        </is>
      </c>
      <c r="C46" s="4" t="inlineStr">
        <is>
          <t>ADR-011 で確定した delete_zone_max_drop（実測値 250m）を config.ini.example に記載し、ユーザー環境への展開を可能にする。</t>
        </is>
      </c>
      <c r="D46" s="4" t="inlineStr">
        <is>
          <t>改善</t>
        </is>
      </c>
      <c r="E46" s="5" t="inlineStr">
        <is>
          <t>中</t>
        </is>
      </c>
      <c r="F46" s="4" t="inlineStr">
        <is>
          <t>設定</t>
        </is>
      </c>
      <c r="G46" s="4" t="inlineStr">
        <is>
          <t>JJ1XGO</t>
        </is>
      </c>
      <c r="H46" s="4" t="inlineStr">
        <is>
          <t>2026-05-21</t>
        </is>
      </c>
      <c r="I46" s="4" t="inlineStr">
        <is>
          <t>COD</t>
        </is>
      </c>
      <c r="J46" s="4" t="inlineStr">
        <is>
          <t>未対応</t>
        </is>
      </c>
      <c r="K46" s="4" t="inlineStr"/>
      <c r="L46" s="4" t="inlineStr"/>
      <c r="M46" s="4"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N46" s="4" t="inlineStr"/>
      <c r="O46" s="4"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is>
          <t>解決済</t>
        </is>
      </c>
      <c r="K47" s="2" t="inlineStr"/>
      <c r="L47" s="2" t="inlineStr"/>
      <c r="M47" s="2" t="inlineStr"/>
      <c r="N47" s="2" t="inlineStr">
        <is>
          <t>2026-05-22</t>
        </is>
      </c>
      <c r="O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5" t="inlineStr">
        <is>
          <t>中</t>
        </is>
      </c>
      <c r="F48" s="2" t="inlineStr">
        <is>
          <t>その他</t>
        </is>
      </c>
      <c r="G48" s="2" t="inlineStr"/>
      <c r="H48" s="2" t="inlineStr">
        <is>
          <t>2026-05-22</t>
        </is>
      </c>
      <c r="I48" s="2" t="inlineStr">
        <is>
          <t>SRS</t>
        </is>
      </c>
      <c r="J48" s="2" t="inlineStr">
        <is>
          <t>解決済</t>
        </is>
      </c>
      <c r="K48" s="2" t="inlineStr"/>
      <c r="L48" s="2" t="inlineStr">
        <is>
          <t>drawio で FR-002/FR-003 のボックスを FR-001 の外に移動し、SVG を再エクスポートして docs/figures/ を更新する</t>
        </is>
      </c>
      <c r="M48" s="2" t="inlineStr"/>
      <c r="N48" s="2" t="inlineStr">
        <is>
          <t>2026-05-22</t>
        </is>
      </c>
      <c r="O48" s="2" t="inlineStr">
        <is>
          <t>2026-05-22</t>
        </is>
      </c>
    </row>
    <row r="49" ht="40" customHeight="1">
      <c r="A49" s="7" t="inlineStr">
        <is>
          <t>ISSUE-048</t>
        </is>
      </c>
      <c r="B49" s="7" t="inlineStr">
        <is>
          <t>SRS 3.1 システムコンテキスト図の新規作成</t>
        </is>
      </c>
      <c r="C49" s="7"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7" t="inlineStr">
        <is>
          <t>機能追加</t>
        </is>
      </c>
      <c r="E49" s="5" t="inlineStr">
        <is>
          <t>中</t>
        </is>
      </c>
      <c r="F49" s="7" t="inlineStr">
        <is>
          <t>その他</t>
        </is>
      </c>
      <c r="G49" s="7" t="inlineStr"/>
      <c r="H49" s="7" t="inlineStr">
        <is>
          <t>2026-05-22</t>
        </is>
      </c>
      <c r="I49" s="7" t="inlineStr">
        <is>
          <t>SRS</t>
        </is>
      </c>
      <c r="J49" s="7" t="inlineStr">
        <is>
          <t>対応中</t>
        </is>
      </c>
      <c r="K49" s="7" t="inlineStr"/>
      <c r="L49" s="7" t="inlineStr">
        <is>
          <t>drawio でコンテキスト図を作成し、docs/figures/context.drawio.svg として保存。SRS 3.1 のプレースホルダーを図参照に置き換えてコミット</t>
        </is>
      </c>
      <c r="M49" s="7" t="inlineStr"/>
      <c r="N49" s="7" t="inlineStr"/>
      <c r="O49" s="7" t="inlineStr"/>
    </row>
    <row r="50" ht="40" customHeight="1">
      <c r="A50" s="4" t="inlineStr">
        <is>
          <t>ISSUE-049</t>
        </is>
      </c>
      <c r="B50" s="4" t="inlineStr">
        <is>
          <t>SRS 3.3 フェーズ俯瞰図の新規作成</t>
        </is>
      </c>
      <c r="C50" s="4"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4" t="inlineStr">
        <is>
          <t>機能追加</t>
        </is>
      </c>
      <c r="E50" s="6" t="inlineStr">
        <is>
          <t>低</t>
        </is>
      </c>
      <c r="F50" s="4" t="inlineStr">
        <is>
          <t>その他</t>
        </is>
      </c>
      <c r="G50" s="4" t="inlineStr"/>
      <c r="H50" s="4" t="inlineStr">
        <is>
          <t>2026-05-22</t>
        </is>
      </c>
      <c r="I50" s="4" t="inlineStr">
        <is>
          <t>SRS</t>
        </is>
      </c>
      <c r="J50" s="4" t="inlineStr">
        <is>
          <t>対応中</t>
        </is>
      </c>
      <c r="K50" s="4" t="inlineStr"/>
      <c r="L50" s="4" t="inlineStr">
        <is>
          <t>drawio でフェーズ俯瞰図を作成し、docs/figures/phases_overview.drawio.svg として保存。SRS 3.3 のプレースホルダーを図参照に置き換えてコミット</t>
        </is>
      </c>
      <c r="M50" s="4" t="inlineStr"/>
      <c r="N50" s="4" t="inlineStr"/>
      <c r="O50" s="4" t="inlineStr"/>
    </row>
    <row r="51" ht="40" customHeight="1">
      <c r="A51" s="7" t="inlineStr">
        <is>
          <t>ISSUE-050</t>
        </is>
      </c>
      <c r="B51" s="7" t="inlineStr">
        <is>
          <t>SRS フェーズ2/3/3.5/4 機能関連図の新規作成</t>
        </is>
      </c>
      <c r="C51" s="7"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7" t="inlineStr">
        <is>
          <t>機能追加</t>
        </is>
      </c>
      <c r="E51" s="6" t="inlineStr">
        <is>
          <t>低</t>
        </is>
      </c>
      <c r="F51" s="7" t="inlineStr">
        <is>
          <t>その他</t>
        </is>
      </c>
      <c r="G51" s="7" t="inlineStr"/>
      <c r="H51" s="7" t="inlineStr">
        <is>
          <t>2026-05-22</t>
        </is>
      </c>
      <c r="I51" s="7" t="inlineStr">
        <is>
          <t>SRS</t>
        </is>
      </c>
      <c r="J51" s="7" t="inlineStr">
        <is>
          <t>未対応</t>
        </is>
      </c>
      <c r="K51" s="7" t="inlineStr"/>
      <c r="L51" s="7" t="inlineStr">
        <is>
          <t>drawio で各フェーズの機能関連図を作成し、docs/figures/phase2.drawio.svg 等として保存。SRS の各フェーズ節冒頭に図参照を追加してコミット</t>
        </is>
      </c>
      <c r="M51" s="7" t="inlineStr"/>
      <c r="N51" s="7" t="inlineStr"/>
      <c r="O51" s="7" t="inlineStr"/>
    </row>
  </sheetData>
  <dataValidations count="4">
    <dataValidation sqref="J2:J51" showDropDown="0" showInputMessage="0" showErrorMessage="0" allowBlank="1" type="list">
      <formula1>"未対応,対応中,対応完了,解決済,却下"</formula1>
    </dataValidation>
    <dataValidation sqref="E2:E51" showDropDown="0" showInputMessage="0" showErrorMessage="0" allowBlank="1" type="list">
      <formula1>"高,中,低"</formula1>
    </dataValidation>
    <dataValidation sqref="D2:D51" showDropDown="0" showInputMessage="0" showErrorMessage="0" allowBlank="1" type="list">
      <formula1>"機能追加,改善,調査,設計"</formula1>
    </dataValidation>
    <dataValidation sqref="I2:I5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50</v>
      </c>
    </row>
    <row r="3">
      <c r="A3" s="10" t="inlineStr">
        <is>
          <t>未解決件数</t>
        </is>
      </c>
      <c r="B3" s="11" t="n">
        <v>29</v>
      </c>
    </row>
    <row r="4">
      <c r="A4" s="10" t="inlineStr">
        <is>
          <t>解決済件数</t>
        </is>
      </c>
      <c r="B4" s="11" t="n">
        <v>17</v>
      </c>
    </row>
    <row r="5">
      <c r="A5" s="10" t="inlineStr">
        <is>
          <t>解決率</t>
        </is>
      </c>
      <c r="B5" s="11" t="inlineStr">
        <is>
          <t>34.0%</t>
        </is>
      </c>
    </row>
    <row r="7">
      <c r="A7" s="8" t="inlineStr">
        <is>
          <t>ステータス別</t>
        </is>
      </c>
      <c r="B7" s="9" t="n"/>
    </row>
    <row r="8">
      <c r="A8" s="10" t="inlineStr">
        <is>
          <t>未対応</t>
        </is>
      </c>
      <c r="B8" s="11" t="n">
        <v>27</v>
      </c>
    </row>
    <row r="9">
      <c r="A9" s="10" t="inlineStr">
        <is>
          <t>対応中</t>
        </is>
      </c>
      <c r="B9" s="11" t="n">
        <v>2</v>
      </c>
    </row>
    <row r="10">
      <c r="A10" s="10" t="inlineStr">
        <is>
          <t>対応完了</t>
        </is>
      </c>
      <c r="B10" s="11" t="n">
        <v>0</v>
      </c>
    </row>
    <row r="11">
      <c r="A11" s="10" t="inlineStr">
        <is>
          <t>解決済</t>
        </is>
      </c>
      <c r="B11" s="11" t="n">
        <v>17</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14</v>
      </c>
    </row>
    <row r="17">
      <c r="A17" s="10" t="inlineStr">
        <is>
          <t>低</t>
        </is>
      </c>
      <c r="B17" s="11" t="n">
        <v>7</v>
      </c>
    </row>
    <row r="19">
      <c r="A19" s="8" t="inlineStr">
        <is>
          <t>種別別（未解決）</t>
        </is>
      </c>
      <c r="B19" s="9" t="n"/>
    </row>
    <row r="20">
      <c r="A20" s="10" t="inlineStr">
        <is>
          <t>機能追加</t>
        </is>
      </c>
      <c r="B20" s="11" t="n">
        <v>8</v>
      </c>
    </row>
    <row r="21">
      <c r="A21" s="10" t="inlineStr">
        <is>
          <t>改善</t>
        </is>
      </c>
      <c r="B21" s="11" t="n">
        <v>15</v>
      </c>
    </row>
    <row r="22">
      <c r="A22" s="10" t="inlineStr">
        <is>
          <t>調査</t>
        </is>
      </c>
      <c r="B22" s="11" t="n">
        <v>2</v>
      </c>
    </row>
    <row r="23">
      <c r="A23" s="10" t="inlineStr">
        <is>
          <t>設計</t>
        </is>
      </c>
      <c r="B23" s="11" t="n">
        <v>1</v>
      </c>
    </row>
    <row r="25">
      <c r="A25" s="8" t="inlineStr">
        <is>
          <t>カテゴリ別（未解決）</t>
        </is>
      </c>
      <c r="B25" s="9" t="n"/>
    </row>
    <row r="26">
      <c r="A26" s="10" t="inlineStr">
        <is>
          <t>解析エンジン</t>
        </is>
      </c>
      <c r="B26" s="11" t="n">
        <v>6</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15</v>
      </c>
    </row>
    <row r="32">
      <c r="A32" s="8" t="inlineStr">
        <is>
          <t>ステージ別（未解決）</t>
        </is>
      </c>
      <c r="B32" s="9" t="n"/>
    </row>
    <row r="33">
      <c r="A33" s="10" t="inlineStr">
        <is>
          <t>URD</t>
        </is>
      </c>
      <c r="B33" s="11" t="n">
        <v>2</v>
      </c>
    </row>
    <row r="34">
      <c r="A34" s="10" t="inlineStr">
        <is>
          <t>SRS</t>
        </is>
      </c>
      <c r="B34" s="11" t="n">
        <v>18</v>
      </c>
    </row>
    <row r="35">
      <c r="A35" s="10" t="inlineStr">
        <is>
          <t>HLD</t>
        </is>
      </c>
      <c r="B35" s="11" t="n">
        <v>1</v>
      </c>
    </row>
    <row r="36">
      <c r="A36" s="10" t="inlineStr">
        <is>
          <t>COD</t>
        </is>
      </c>
      <c r="B36" s="11" t="n">
        <v>6</v>
      </c>
    </row>
    <row r="37">
      <c r="A37" s="10" t="inlineStr">
        <is>
          <t>ST</t>
        </is>
      </c>
      <c r="B37"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21</v>
      </c>
      <c r="D27" t="n">
        <v>21</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2026-05-22T09:37:25Z</dcterms:created>
  <dcterms:modified xsi:type="dcterms:W3CDTF">2026-05-22T09:37:25Z</dcterms:modified>
</cp:coreProperties>
</file>