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課題一覧" sheetId="1" state="visible" r:id="rId1"/>
    <sheet name="サマリー" sheetId="2" state="visible" r:id="rId2"/>
    <sheet name="収束グラフ"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F4E79"/>
      </patternFill>
    </fill>
    <fill>
      <patternFill patternType="solid">
        <fgColor rgb="00F0F0F0"/>
      </patternFill>
    </fill>
    <fill>
      <patternFill patternType="solid">
        <fgColor rgb="00FFE0E0"/>
      </patternFill>
    </fill>
    <fill>
      <patternFill patternType="solid">
        <fgColor rgb="00FFFBE0"/>
      </patternFill>
    </fill>
    <fill>
      <patternFill patternType="solid">
        <fgColor rgb="00E8F5E9"/>
      </patternFill>
    </fill>
    <fill>
      <patternFill patternType="solid">
        <fgColor rgb="00EBF3FB"/>
      </patternFill>
    </fill>
    <fill>
      <patternFill patternType="solid">
        <fgColor rgb="00FFFFFF"/>
      </patternFill>
    </fill>
    <fill>
      <patternFill patternType="solid">
        <fgColor rgb="002E5D9E"/>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1" fillId="9" borderId="1" applyAlignment="1" pivotButton="0" quotePrefix="0" xfId="0">
      <alignment horizontal="left" vertical="center"/>
    </xf>
    <xf numFmtId="0" fontId="0" fillId="9" borderId="1" pivotButton="0" quotePrefix="0" xfId="0"/>
    <xf numFmtId="0" fontId="3" fillId="10" borderId="1" applyAlignment="1" pivotButton="0" quotePrefix="0" xfId="0">
      <alignment horizontal="left" vertical="center"/>
    </xf>
    <xf numFmtId="0" fontId="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収束グラフ</a:t>
            </a:r>
          </a:p>
        </rich>
      </tx>
    </title>
    <plotArea>
      <lineChart>
        <grouping val="standard"/>
        <ser>
          <idx val="0"/>
          <order val="0"/>
          <tx>
            <strRef>
              <f>'収束グラフ'!B1</f>
            </strRef>
          </tx>
          <spPr>
            <a:ln w="20000">
              <a:solidFill>
                <a:srgbClr val="FF0000"/>
              </a:solidFill>
              <a:prstDash val="solid"/>
            </a:ln>
          </spPr>
          <marker>
            <symbol val="none"/>
            <spPr>
              <a:ln>
                <a:prstDash val="solid"/>
              </a:ln>
            </spPr>
          </marker>
          <cat>
            <strRef>
              <f>'収束グラフ'!$A$2:$A$48</f>
            </strRef>
          </cat>
          <val>
            <numRef>
              <f>'収束グラフ'!$B$2:$B$48</f>
            </numRef>
          </val>
        </ser>
        <ser>
          <idx val="1"/>
          <order val="1"/>
          <tx>
            <strRef>
              <f>'収束グラフ'!C1</f>
            </strRef>
          </tx>
          <spPr>
            <a:ln w="20000">
              <a:solidFill>
                <a:srgbClr val="4472C4"/>
              </a:solidFill>
              <a:prstDash val="solid"/>
            </a:ln>
          </spPr>
          <marker>
            <symbol val="none"/>
            <spPr>
              <a:ln>
                <a:prstDash val="solid"/>
              </a:ln>
            </spPr>
          </marker>
          <cat>
            <strRef>
              <f>'収束グラフ'!$A$2:$A$48</f>
            </strRef>
          </cat>
          <val>
            <numRef>
              <f>'収束グラフ'!$C$2:$C$48</f>
            </numRef>
          </val>
        </ser>
        <ser>
          <idx val="2"/>
          <order val="2"/>
          <tx>
            <strRef>
              <f>'収束グラフ'!D1</f>
            </strRef>
          </tx>
          <spPr>
            <a:ln w="20000">
              <a:solidFill>
                <a:srgbClr val="70AD47"/>
              </a:solidFill>
              <a:prstDash val="solid"/>
            </a:ln>
          </spPr>
          <marker>
            <symbol val="none"/>
            <spPr>
              <a:ln>
                <a:prstDash val="solid"/>
              </a:ln>
            </spPr>
          </marker>
          <cat>
            <strRef>
              <f>'収束グラフ'!$A$2:$A$48</f>
            </strRef>
          </cat>
          <val>
            <numRef>
              <f>'収束グラフ'!$D$2:$D$48</f>
            </numRef>
          </val>
        </ser>
        <axId val="10"/>
        <axId val="100"/>
      </lineChart>
      <catAx>
        <axId val="10"/>
        <scaling>
          <orientation val="minMax"/>
        </scaling>
        <axPos val="l"/>
        <title>
          <tx>
            <rich>
              <a:bodyPr/>
              <a:p>
                <a:pPr>
                  <a:defRPr/>
                </a:pPr>
                <a:r>
                  <a:t>日付</a:t>
                </a:r>
              </a:p>
            </rich>
          </tx>
        </title>
        <majorTickMark val="none"/>
        <minorTickMark val="none"/>
        <crossAx val="100"/>
        <lblOffset val="100"/>
      </catAx>
      <valAx>
        <axId val="100"/>
        <scaling>
          <orientation val="minMax"/>
          <min val="0"/>
        </scaling>
        <axPos val="l"/>
        <majorGridlines/>
        <title>
          <tx>
            <rich>
              <a:bodyPr/>
              <a:p>
                <a:pPr>
                  <a:defRPr/>
                </a:pPr>
                <a:r>
                  <a:t>累計数</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P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44" customWidth="1" min="3" max="3"/>
    <col width="12" customWidth="1" min="4" max="4"/>
    <col width="10" customWidth="1" min="5" max="5"/>
    <col width="16" customWidth="1" min="6" max="6"/>
    <col width="14" customWidth="1" min="7" max="7"/>
    <col width="14" customWidth="1" min="8" max="8"/>
    <col width="16" customWidth="1" min="9" max="9"/>
    <col width="16" customWidth="1" min="10" max="10"/>
    <col width="12" customWidth="1" min="11" max="11"/>
    <col width="14" customWidth="1" min="12" max="12"/>
    <col width="30" customWidth="1" min="13" max="13"/>
    <col width="30" customWidth="1" min="14" max="14"/>
    <col width="14" customWidth="1" min="15" max="15"/>
    <col width="14" customWidth="1" min="16" max="16"/>
  </cols>
  <sheetData>
    <row r="1" ht="28" customHeight="1">
      <c r="A1" s="1" t="inlineStr">
        <is>
          <t>ID</t>
        </is>
      </c>
      <c r="B1" s="1" t="inlineStr">
        <is>
          <t>タイトル</t>
        </is>
      </c>
      <c r="C1" s="1" t="inlineStr">
        <is>
          <t>説明</t>
        </is>
      </c>
      <c r="D1" s="1" t="inlineStr">
        <is>
          <t>種別</t>
        </is>
      </c>
      <c r="E1" s="1" t="inlineStr">
        <is>
          <t>優先度</t>
        </is>
      </c>
      <c r="F1" s="1" t="inlineStr">
        <is>
          <t>カテゴリ</t>
        </is>
      </c>
      <c r="G1" s="1" t="inlineStr">
        <is>
          <t>報告者</t>
        </is>
      </c>
      <c r="H1" s="1" t="inlineStr">
        <is>
          <t>作成日</t>
        </is>
      </c>
      <c r="I1" s="1" t="inlineStr">
        <is>
          <t>発生ステージ</t>
        </is>
      </c>
      <c r="J1" s="1" t="inlineStr">
        <is>
          <t>対応予定ステージ</t>
        </is>
      </c>
      <c r="K1" s="1" t="inlineStr">
        <is>
          <t>ステータス</t>
        </is>
      </c>
      <c r="L1" s="1" t="inlineStr">
        <is>
          <t>担当者</t>
        </is>
      </c>
      <c r="M1" s="1" t="inlineStr">
        <is>
          <t>対応方針</t>
        </is>
      </c>
      <c r="N1" s="1" t="inlineStr">
        <is>
          <t>備考</t>
        </is>
      </c>
      <c r="O1" s="1" t="inlineStr">
        <is>
          <t>対応完了日</t>
        </is>
      </c>
      <c r="P1" s="1" t="inlineStr">
        <is>
          <t>解決確認日</t>
        </is>
      </c>
    </row>
    <row r="2" ht="40" customHeight="1">
      <c r="A2" s="2" t="inlineStr">
        <is>
          <t>ISSUE-001</t>
        </is>
      </c>
      <c r="B2" s="2" t="inlineStr">
        <is>
          <t>フルパイプ検証 ステップ3（merge.py 実行）</t>
        </is>
      </c>
      <c r="C2" s="2" t="inlineStr">
        <is>
          <t>9メッシュ（params/mesh_5339_neighbors.txt）を対象に merge.py を実行し、CSV統合・SOTA突合・bboxフィルタを検証する。matched/new/deleted の件数と unstable の割合を目視確認。tolerance_px の調整値もここで決定する。</t>
        </is>
      </c>
      <c r="D2" s="2" t="inlineStr">
        <is>
          <t>調査</t>
        </is>
      </c>
      <c r="E2" s="3" t="inlineStr">
        <is>
          <t>高</t>
        </is>
      </c>
      <c r="F2" s="2" t="inlineStr">
        <is>
          <t>merge.py</t>
        </is>
      </c>
      <c r="G2" s="2" t="inlineStr">
        <is>
          <t>JJ1XGO</t>
        </is>
      </c>
      <c r="H2" s="2" t="inlineStr">
        <is>
          <t>2026-04-27</t>
        </is>
      </c>
      <c r="I2" s="2" t="inlineStr">
        <is>
          <t>IT</t>
        </is>
      </c>
      <c r="J2" s="2" t="inlineStr"/>
      <c r="K2" s="2" t="inlineStr">
        <is>
          <t>解決済</t>
        </is>
      </c>
      <c r="L2" s="2" t="inlineStr">
        <is>
          <t>JJ1XGO</t>
        </is>
      </c>
      <c r="M2" s="2" t="inlineStr">
        <is>
          <t>python3 scripts/merge.py --mesh-list params/mesh_5339_neighbors.txt を実行して結果確認</t>
        </is>
      </c>
      <c r="N2" s="2" t="inlineStr">
        <is>
          <t>ステップ1（prefetch）・ステップ2（findsummits 9メッシュ解析）は完了済み</t>
        </is>
      </c>
      <c r="O2" s="2" t="inlineStr">
        <is>
          <t>2026-04-26</t>
        </is>
      </c>
      <c r="P2" s="2" t="inlineStr">
        <is>
          <t>2026-05-17</t>
        </is>
      </c>
    </row>
    <row r="3" ht="40" customHeight="1">
      <c r="A3" s="2" t="inlineStr">
        <is>
          <t>ISSUE-002</t>
        </is>
      </c>
      <c r="B3" s="2" t="inlineStr">
        <is>
          <t>match_status 判定の merge.py 本実装</t>
        </is>
      </c>
      <c r="C3" s="2" t="inlineStr">
        <is>
          <t>現行の merge.py には match_status（NEW/MATCH/MOVED/ELEV_CHANGE/DELETED）の本実装が未完了。突合しきい値: 距離 ≤ 150m かつ標高差 &lt; 20m で同一サミットとみなす。DELETED は mesh_bbox() によるbbox内サミットのみ対象。</t>
        </is>
      </c>
      <c r="D3" s="2" t="inlineStr">
        <is>
          <t>機能追加</t>
        </is>
      </c>
      <c r="E3" s="3" t="inlineStr">
        <is>
          <t>高</t>
        </is>
      </c>
      <c r="F3" s="2" t="inlineStr">
        <is>
          <t>merge.py</t>
        </is>
      </c>
      <c r="G3" s="2" t="inlineStr">
        <is>
          <t>JJ1XGO</t>
        </is>
      </c>
      <c r="H3" s="2" t="inlineStr">
        <is>
          <t>2026-04-27</t>
        </is>
      </c>
      <c r="I3" s="2" t="inlineStr">
        <is>
          <t>COD</t>
        </is>
      </c>
      <c r="J3" s="2" t="inlineStr"/>
      <c r="K3" s="2" t="inlineStr">
        <is>
          <t>却下</t>
        </is>
      </c>
      <c r="L3" s="2" t="inlineStr">
        <is>
          <t>JJ1XGO</t>
        </is>
      </c>
      <c r="M3" s="2" t="inlineStr"/>
      <c r="N3" s="2" t="inlineStr">
        <is>
          <t>ISSUE-001（ステップ3検証）の後に着手。突合列: match_status, summit_code, summit_name, peak_lat, peak_lon, peak_elev, col_lat, col_lon, col_elev, prominence, orig_lat, orig_lon, orig_elev</t>
        </is>
      </c>
      <c r="O3" s="2" t="inlineStr">
        <is>
          <t>2026-05-17</t>
        </is>
      </c>
      <c r="P3" s="2" t="inlineStr">
        <is>
          <t>2026-05-17</t>
        </is>
      </c>
    </row>
    <row r="4" ht="40" customHeight="1">
      <c r="A4" s="2" t="inlineStr">
        <is>
          <t>ISSUE-003</t>
        </is>
      </c>
      <c r="B4" s="2" t="inlineStr">
        <is>
          <t>output_xlsx.py 新規作成（申請用XLSX生成）</t>
        </is>
      </c>
      <c r="C4" s="2" t="inlineStr">
        <is>
          <t>openpyxl で SOTA申請用 XLSX を生成するスクリプト。新規シート(NEW)・変更シート(MOVED/ELEV_CHANGE)・削除シート(DELETED)・変更なしシート(MATCH)の4シート構成。prominence &lt; 150m の行は黄色ハイライト。</t>
        </is>
      </c>
      <c r="D4" s="2" t="inlineStr">
        <is>
          <t>機能追加</t>
        </is>
      </c>
      <c r="E4" s="3" t="inlineStr">
        <is>
          <t>高</t>
        </is>
      </c>
      <c r="F4" s="2" t="inlineStr">
        <is>
          <t>その他</t>
        </is>
      </c>
      <c r="G4" s="2" t="inlineStr">
        <is>
          <t>JJ1XGO</t>
        </is>
      </c>
      <c r="H4" s="2" t="inlineStr">
        <is>
          <t>2026-04-27</t>
        </is>
      </c>
      <c r="I4" s="2" t="inlineStr">
        <is>
          <t>COD</t>
        </is>
      </c>
      <c r="J4" s="2" t="inlineStr"/>
      <c r="K4" s="2" t="inlineStr">
        <is>
          <t>却下</t>
        </is>
      </c>
      <c r="L4" s="2" t="inlineStr">
        <is>
          <t>JJ1XGO</t>
        </is>
      </c>
      <c r="M4" s="2" t="inlineStr">
        <is>
          <t>URD/SRS 再設計に伴い廃止。output_xlsx.py の仕様は SRS 確定後に改めて起票する。元の説明にあった4シート構成はテンプレート未確認のまま Claude が設計した誤り（実際は1シート縦並び）。</t>
        </is>
      </c>
      <c r="N4" s="2" t="inlineStr">
        <is>
          <t>【2026-05-22 更新】MOVED/ELEV_CHANGE シート言及は廃止。最新仕様: 変更行 = is_band_change_candidate=true の matched ピーク（FR-011）。変更前標高=sota_alt_m、変更後標高=round(peak_elev)、山岳名は変更前後同値。根拠文は自動生成（FR-011 ※5参照）。名称変更申請は廃止されたため変更シートは標高バンド遷移のみ対象。</t>
        </is>
      </c>
      <c r="O4" s="2" t="inlineStr"/>
      <c r="P4" s="2" t="inlineStr">
        <is>
          <t>2026-05-23</t>
        </is>
      </c>
    </row>
    <row r="5" ht="40" customHeight="1">
      <c r="A5" s="2" t="inlineStr">
        <is>
          <t>ISSUE-004</t>
        </is>
      </c>
      <c r="B5" s="2" t="inlineStr">
        <is>
          <t>output_geojson.py 新規作成（GeoJSON生成）</t>
        </is>
      </c>
      <c r="C5" s="2" t="inlineStr">
        <is>
          <t>地理院地図での目視確認用 GeoJSON を生成するスクリプト。Summit/Peak/Col ごとに Point Feature を生成。match_status 別アイコン/色（NEW=マゼンタ, MOVED=オレンジ, ELEV_CHANGE=水色, DELETED=グレー, MATCH=スコア色）。Summit→Peak, Peak→Col の LineString も追加。</t>
        </is>
      </c>
      <c r="D5" s="2" t="inlineStr">
        <is>
          <t>機能追加</t>
        </is>
      </c>
      <c r="E5" s="4" t="inlineStr">
        <is>
          <t>中</t>
        </is>
      </c>
      <c r="F5" s="2" t="inlineStr">
        <is>
          <t>GeoJSON出力</t>
        </is>
      </c>
      <c r="G5" s="2" t="inlineStr">
        <is>
          <t>JJ1XGO</t>
        </is>
      </c>
      <c r="H5" s="2" t="inlineStr">
        <is>
          <t>2026-04-27</t>
        </is>
      </c>
      <c r="I5" s="2" t="inlineStr">
        <is>
          <t>COD</t>
        </is>
      </c>
      <c r="J5" s="2" t="inlineStr"/>
      <c r="K5" s="2" t="inlineStr">
        <is>
          <t>解決済</t>
        </is>
      </c>
      <c r="L5" s="2" t="inlineStr">
        <is>
          <t>JJ1XGO</t>
        </is>
      </c>
      <c r="M5" s="2" t="inlineStr"/>
      <c r="N5" s="2" t="inlineStr">
        <is>
          <t>SOTA スコア別色（MATCHのみ）: 10点=赤, 8点=黄, 6点=緑, 4点=シアン, 2点=青, 1点=紫</t>
        </is>
      </c>
      <c r="O5" s="2" t="inlineStr">
        <is>
          <t>2026-04-27</t>
        </is>
      </c>
      <c r="P5" s="2" t="inlineStr">
        <is>
          <t>2026-04-27</t>
        </is>
      </c>
    </row>
    <row r="6" ht="40" customHeight="1">
      <c r="A6" s="2" t="inlineStr">
        <is>
          <t>ISSUE-005</t>
        </is>
      </c>
      <c r="B6" s="2" t="inlineStr">
        <is>
          <t>九州・四国メッシュでの統合テスト</t>
        </is>
      </c>
      <c r="C6" s="2" t="inlineStr">
        <is>
          <t>フルパイプ検証（9メッシュ）が通った後、九州・四国メッシュで end-to-end テストを実施。findsummits4sotaja の過去結果（sotaJA_SummitPeakCol_All5.xlsx）と比較。許容差: ピーク座標 ±100m、標高 ±5m、プロミネンス ±20m。</t>
        </is>
      </c>
      <c r="D6" s="2" t="inlineStr">
        <is>
          <t>調査</t>
        </is>
      </c>
      <c r="E6" s="4" t="inlineStr">
        <is>
          <t>中</t>
        </is>
      </c>
      <c r="F6" s="2" t="inlineStr">
        <is>
          <t>解析エンジン</t>
        </is>
      </c>
      <c r="G6" s="2" t="inlineStr">
        <is>
          <t>JJ1XGO</t>
        </is>
      </c>
      <c r="H6" s="2" t="inlineStr">
        <is>
          <t>2026-04-27</t>
        </is>
      </c>
      <c r="I6" s="2" t="inlineStr">
        <is>
          <t>ST</t>
        </is>
      </c>
      <c r="J6" s="2" t="inlineStr"/>
      <c r="K6" s="2" t="inlineStr">
        <is>
          <t>却下</t>
        </is>
      </c>
      <c r="L6" s="2" t="inlineStr">
        <is>
          <t>JJ1XGO</t>
        </is>
      </c>
      <c r="M6" s="2" t="inlineStr">
        <is>
          <t>URD/SRS 再設計に伴い廃止。</t>
        </is>
      </c>
      <c r="N6" s="2" t="inlineStr">
        <is>
          <t>複数メッシュ境界付近の既知の山が GeoJSON で正しく1件表示されることも確認。DEM5なしメッシュの DEM10 フォールバック結果の妥当性も確認。</t>
        </is>
      </c>
      <c r="O6" s="2" t="inlineStr"/>
      <c r="P6" s="2" t="inlineStr">
        <is>
          <t>2026-05-23</t>
        </is>
      </c>
    </row>
    <row r="7" ht="40" customHeight="1">
      <c r="A7" s="2" t="inlineStr">
        <is>
          <t>ISSUE-006</t>
        </is>
      </c>
      <c r="B7" s="2" t="inlineStr">
        <is>
          <t>tolerance_px の調整（ステップ3結果を見て決定）</t>
        </is>
      </c>
      <c r="C7" s="2" t="inlineStr">
        <is>
          <t>現在 tolerance_px=0（完全一致）。ISSUE-001 のステップ3結果を確認してから適切な値を決定する。設定は fetch_config.ini で管理。</t>
        </is>
      </c>
      <c r="D7" s="2" t="inlineStr">
        <is>
          <t>改善</t>
        </is>
      </c>
      <c r="E7" s="4" t="inlineStr">
        <is>
          <t>中</t>
        </is>
      </c>
      <c r="F7" s="2" t="inlineStr">
        <is>
          <t>merge.py</t>
        </is>
      </c>
      <c r="G7" s="2" t="inlineStr">
        <is>
          <t>JJ1XGO</t>
        </is>
      </c>
      <c r="H7" s="2" t="inlineStr">
        <is>
          <t>2026-04-27</t>
        </is>
      </c>
      <c r="I7" s="2" t="inlineStr">
        <is>
          <t>IT</t>
        </is>
      </c>
      <c r="J7" s="2" t="inlineStr"/>
      <c r="K7" s="2" t="inlineStr">
        <is>
          <t>却下</t>
        </is>
      </c>
      <c r="L7" s="2" t="inlineStr">
        <is>
          <t>JJ1XGO</t>
        </is>
      </c>
      <c r="M7" s="2" t="inlineStr"/>
      <c r="N7" s="2" t="inlineStr">
        <is>
          <t>ISSUE-001 完了後に着手</t>
        </is>
      </c>
      <c r="O7" s="2" t="inlineStr">
        <is>
          <t>2026-05-17</t>
        </is>
      </c>
      <c r="P7" s="2" t="inlineStr">
        <is>
          <t>2026-05-17</t>
        </is>
      </c>
    </row>
    <row r="8" ht="40" customHeight="1">
      <c r="A8" s="2" t="inlineStr">
        <is>
          <t>ISSUE-007</t>
        </is>
      </c>
      <c r="B8" s="2" t="inlineStr">
        <is>
          <t>run_all.sh の仕様確認・修正</t>
        </is>
      </c>
      <c r="C8" s="2" t="inlineStr">
        <is>
          <t>scripts/run_all.sh の仕様確認と必要に応じた修正。フルパイプ検証（9メッシュ）が通ってから実施する。</t>
        </is>
      </c>
      <c r="D8" s="2" t="inlineStr">
        <is>
          <t>改善</t>
        </is>
      </c>
      <c r="E8" s="5" t="inlineStr">
        <is>
          <t>低</t>
        </is>
      </c>
      <c r="F8" s="2" t="inlineStr">
        <is>
          <t>その他</t>
        </is>
      </c>
      <c r="G8" s="2" t="inlineStr">
        <is>
          <t>JJ1XGO</t>
        </is>
      </c>
      <c r="H8" s="2" t="inlineStr">
        <is>
          <t>2026-04-27</t>
        </is>
      </c>
      <c r="I8" s="2" t="inlineStr">
        <is>
          <t>OPS</t>
        </is>
      </c>
      <c r="J8" s="2" t="inlineStr"/>
      <c r="K8" s="2" t="inlineStr">
        <is>
          <t>却下</t>
        </is>
      </c>
      <c r="L8" s="2" t="inlineStr">
        <is>
          <t>JJ1XGO</t>
        </is>
      </c>
      <c r="M8" s="2" t="inlineStr"/>
      <c r="N8" s="2" t="inlineStr">
        <is>
          <t>フルパイプ検証前に仕様を詰めても実行時の問題で仕様変更になりやすいため後回し</t>
        </is>
      </c>
      <c r="O8" s="2" t="inlineStr">
        <is>
          <t>2026-05-17</t>
        </is>
      </c>
      <c r="P8" s="2" t="inlineStr">
        <is>
          <t>2026-05-17</t>
        </is>
      </c>
    </row>
    <row r="9" ht="40" customHeight="1">
      <c r="A9" s="2" t="inlineStr">
        <is>
          <t>ISSUE-008</t>
        </is>
      </c>
      <c r="B9" s="2" t="inlineStr">
        <is>
          <t>申請用出力フェーズ着手前の設計確認（plan_v1.md との整合確認）</t>
        </is>
      </c>
      <c r="C9" s="2" t="inlineStr">
        <is>
          <t>plan_v1.md の Ph.2〜Ph.5 設計（別スクリプト構成）が現在のアーキテクチャ（merge.py 統合・output_xlsx.py / output_geojson.py 分離構成）に合っているかを確認・整合させる。ISSUE-003（output_xlsx.py）・ISSUE-004（output_geojson.py）の前提条件であり、着手前に必ず実施する。</t>
        </is>
      </c>
      <c r="D9" s="2" t="inlineStr">
        <is>
          <t>設計</t>
        </is>
      </c>
      <c r="E9" s="3" t="inlineStr">
        <is>
          <t>高</t>
        </is>
      </c>
      <c r="F9" s="2" t="inlineStr">
        <is>
          <t>その他</t>
        </is>
      </c>
      <c r="G9" s="2" t="inlineStr">
        <is>
          <t>JJ1XGO</t>
        </is>
      </c>
      <c r="H9" s="2" t="inlineStr">
        <is>
          <t>2026-04-27</t>
        </is>
      </c>
      <c r="I9" s="2" t="inlineStr">
        <is>
          <t>HLD</t>
        </is>
      </c>
      <c r="J9" s="2" t="inlineStr"/>
      <c r="K9" s="2" t="inlineStr">
        <is>
          <t>却下</t>
        </is>
      </c>
      <c r="L9" s="2" t="inlineStr">
        <is>
          <t>JJ1XGO</t>
        </is>
      </c>
      <c r="M9" s="2" t="inlineStr"/>
      <c r="N9" s="2" t="inlineStr">
        <is>
          <t>plan_v1.md: .claude/mgmt/plan_v1.md</t>
        </is>
      </c>
      <c r="O9" s="2" t="inlineStr">
        <is>
          <t>2026-05-17</t>
        </is>
      </c>
      <c r="P9" s="2" t="inlineStr">
        <is>
          <t>2026-05-17</t>
        </is>
      </c>
    </row>
    <row r="10" ht="40" customHeight="1">
      <c r="A10" s="6" t="inlineStr">
        <is>
          <t>ISSUE-009</t>
        </is>
      </c>
      <c r="B10" s="6" t="inlineStr">
        <is>
          <t>新規サミット仮コードへの地域コード自動付与</t>
        </is>
      </c>
      <c r="C10" s="6" t="inlineStr">
        <is>
          <t>現在は仮コードが ZZ/ZZ-001 形式の連番。座標から都道府県を判定し、SOTA JA のアソシエーション/リージョンコード（北海道・本州・四国・九州）を仮コードに反映できるか実装を検討する。</t>
        </is>
      </c>
      <c r="D10" s="6" t="inlineStr">
        <is>
          <t>機能追加</t>
        </is>
      </c>
      <c r="E10" s="5" t="inlineStr">
        <is>
          <t>低</t>
        </is>
      </c>
      <c r="F10" s="6" t="inlineStr">
        <is>
          <t>merge.py</t>
        </is>
      </c>
      <c r="G10" s="6" t="inlineStr">
        <is>
          <t>JJ1XGO</t>
        </is>
      </c>
      <c r="H10" s="6" t="inlineStr">
        <is>
          <t>2026-04-27</t>
        </is>
      </c>
      <c r="I10" s="6" t="inlineStr">
        <is>
          <t>HLD</t>
        </is>
      </c>
      <c r="J10" s="6" t="inlineStr">
        <is>
          <t>COD</t>
        </is>
      </c>
      <c r="K10" s="6" t="inlineStr">
        <is>
          <t>未対応</t>
        </is>
      </c>
      <c r="L10" s="6" t="inlineStr">
        <is>
          <t>Claude</t>
        </is>
      </c>
      <c r="M10" s="6" t="inlineStr">
        <is>
          <t>SRS FR-009 に仕様記述済み。COD ステージで preprocess_pref_boundaries.py を実行して N03 GeoJSON を生成後に実装する。</t>
        </is>
      </c>
      <c r="N10" s="6" t="inlineStr">
        <is>
          <t>将来実装候補。フルパイプ検証・申請用出力フェーズ完了後に検討。</t>
        </is>
      </c>
      <c r="O10" s="6" t="inlineStr"/>
      <c r="P10" s="6" t="inlineStr"/>
    </row>
    <row r="11" ht="40" customHeight="1">
      <c r="A11" s="2" t="inlineStr">
        <is>
          <t>ISSUE-010</t>
        </is>
      </c>
      <c r="B11" s="2" t="inlineStr">
        <is>
          <t>セットアップ手順の整備（README・requirements.txt・.gitignore・CLAUDE.md）</t>
        </is>
      </c>
      <c r="C11" s="2" t="inlineStr">
        <is>
          <t>.venv仮想環境の導入に伴い、新規参加者がすぐに使い始められるよう以下を整備する。① scripts/requirements.txt 新規作成、② .gitignore に .venv/ 追記、③ README.md にセットアップ手順・プロジェクト概要を記載、④ CLAUDE.md に .venv/bin/python3 使用の旨を追記</t>
        </is>
      </c>
      <c r="D11" s="2" t="inlineStr">
        <is>
          <t>改善</t>
        </is>
      </c>
      <c r="E11" s="4" t="inlineStr">
        <is>
          <t>中</t>
        </is>
      </c>
      <c r="F11" s="2" t="inlineStr">
        <is>
          <t>設定</t>
        </is>
      </c>
      <c r="G11" s="2" t="inlineStr"/>
      <c r="H11" s="2" t="inlineStr">
        <is>
          <t>2026-04-28</t>
        </is>
      </c>
      <c r="I11" s="2" t="inlineStr">
        <is>
          <t>OPS</t>
        </is>
      </c>
      <c r="J11" s="2" t="inlineStr"/>
      <c r="K11" s="2" t="inlineStr">
        <is>
          <t>解決済</t>
        </is>
      </c>
      <c r="L11" s="2" t="inlineStr">
        <is>
          <t>JJ1XGO</t>
        </is>
      </c>
      <c r="M11" s="2" t="inlineStr">
        <is>
          <t>requirements.txt・.gitignore・CLAUDE.md は小規模な編集。README.md は現状に合わせて内容を整理してから更新する</t>
        </is>
      </c>
      <c r="N11" s="2" t="inlineStr"/>
      <c r="O11" s="2" t="inlineStr">
        <is>
          <t>2026-05-17</t>
        </is>
      </c>
      <c r="P11" s="2" t="inlineStr">
        <is>
          <t>2026-05-17</t>
        </is>
      </c>
    </row>
    <row r="12" ht="40" customHeight="1">
      <c r="A12" s="2" t="inlineStr">
        <is>
          <t>ISSUE-011</t>
        </is>
      </c>
      <c r="B12" s="2" t="inlineStr">
        <is>
          <t>リリースブランチ運用ルールをCLAUDE.mdに明記</t>
        </is>
      </c>
      <c r="C12" s="2" t="inlineStr">
        <is>
          <t>devel→mainの直接マージ禁止、release/*ブランチを介す運用ルールをプロジェクトCLAUDE.mdに追記する</t>
        </is>
      </c>
      <c r="D12" s="2" t="inlineStr">
        <is>
          <t>改善</t>
        </is>
      </c>
      <c r="E12" s="4" t="inlineStr">
        <is>
          <t>中</t>
        </is>
      </c>
      <c r="F12" s="2" t="inlineStr">
        <is>
          <t>設定</t>
        </is>
      </c>
      <c r="G12" s="2" t="inlineStr"/>
      <c r="H12" s="2" t="inlineStr">
        <is>
          <t>2026-04-28</t>
        </is>
      </c>
      <c r="I12" s="2" t="inlineStr">
        <is>
          <t>OPS</t>
        </is>
      </c>
      <c r="J12" s="2" t="inlineStr"/>
      <c r="K12" s="2" t="inlineStr">
        <is>
          <t>解決済</t>
        </is>
      </c>
      <c r="L12" s="2" t="inlineStr"/>
      <c r="M12" s="2" t="inlineStr">
        <is>
          <t>CLAUDE.mdのルールと制約セクションに追記</t>
        </is>
      </c>
      <c r="N12" s="2" t="inlineStr"/>
      <c r="O12" s="2" t="inlineStr">
        <is>
          <t>2026-04-28</t>
        </is>
      </c>
      <c r="P12" s="2" t="inlineStr">
        <is>
          <t>2026-05-17</t>
        </is>
      </c>
    </row>
    <row r="13" ht="40" customHeight="1">
      <c r="A13" s="2" t="inlineStr">
        <is>
          <t>ISSUE-012</t>
        </is>
      </c>
      <c r="B13" s="2" t="inlineStr">
        <is>
          <t>matched ピークの標高差扱いの方針決定</t>
        </is>
      </c>
      <c r="C13" s="2" t="inlineStr">
        <is>
          <t>match_status=matched かつ peak_elev と sota_alt_m に差異がある場合、申請書に「変更」として出力するか否か、また何m以上の差異を「変更」扱いにするかの閾値を決定する。</t>
        </is>
      </c>
      <c r="D13" s="2" t="inlineStr">
        <is>
          <t>設計</t>
        </is>
      </c>
      <c r="E13" s="4" t="inlineStr">
        <is>
          <t>中</t>
        </is>
      </c>
      <c r="F13" s="2" t="inlineStr"/>
      <c r="G13" s="2" t="inlineStr">
        <is>
          <t>JJ1XGO</t>
        </is>
      </c>
      <c r="H13" s="2" t="inlineStr">
        <is>
          <t>2026-05-08</t>
        </is>
      </c>
      <c r="I13" s="2" t="inlineStr">
        <is>
          <t>SRS</t>
        </is>
      </c>
      <c r="J13" s="2" t="inlineStr"/>
      <c r="K13" s="2" t="inlineStr">
        <is>
          <t>解決済</t>
        </is>
      </c>
      <c r="L13" s="2" t="inlineStr"/>
      <c r="M13" s="2" t="inlineStr">
        <is>
          <t>スコープ外として対応しない。matched サミットの座標・標高変更は本プロジェクトでは自動識別しない。既存登録情報は概ね正しいと判断。URD UR-003・スコープ外セクションに反映済み。</t>
        </is>
      </c>
      <c r="N13" s="2" t="inlineStr"/>
      <c r="O13" s="2" t="inlineStr">
        <is>
          <t>2026-05-10</t>
        </is>
      </c>
      <c r="P13" s="2" t="inlineStr">
        <is>
          <t>2026-05-17</t>
        </is>
      </c>
    </row>
    <row r="14" ht="40" customHeight="1">
      <c r="A14" s="2" t="inlineStr">
        <is>
          <t>ISSUE-013</t>
        </is>
      </c>
      <c r="B14" s="2" t="inlineStr">
        <is>
          <t>prefetch_tiles.py の取得範囲を各メッシュの最小範囲に修正</t>
        </is>
      </c>
      <c r="C14" s="2" t="inlineStr">
        <is>
          <t>現在の enumerate_jobs() は隣接メッシュが mesh_set に含まれる場合にタイル取得範囲を拡張しているが、正しい仕様は各メッシュをカバーする最小範囲（mesh_to_tile_range(meshcode) のみ）のタイルを取得すること。隣接メッシュ拡張ロジック（nb not in mesh_set の分岐）を削除し、各メッシュ単独の範囲のみを取得するよう修正する。全176メッシュを一括取得する運用では境界付近のタイルが複数メッシュから重複取得されるが問題ない。</t>
        </is>
      </c>
      <c r="D14" s="2" t="inlineStr">
        <is>
          <t>改善</t>
        </is>
      </c>
      <c r="E14" s="4" t="inlineStr">
        <is>
          <t>中</t>
        </is>
      </c>
      <c r="F14" s="2" t="inlineStr"/>
      <c r="G14" s="2" t="inlineStr"/>
      <c r="H14" s="2" t="inlineStr">
        <is>
          <t>2026-05-08</t>
        </is>
      </c>
      <c r="I14" s="2" t="inlineStr">
        <is>
          <t>COD</t>
        </is>
      </c>
      <c r="J14" s="2" t="inlineStr">
        <is>
          <t>COD</t>
        </is>
      </c>
      <c r="K14" s="2" t="inlineStr">
        <is>
          <t>却下</t>
        </is>
      </c>
      <c r="L14" s="2" t="inlineStr">
        <is>
          <t>Claude</t>
        </is>
      </c>
      <c r="M14" s="2" t="inlineStr">
        <is>
          <t>scripts/prefetch_tiles.py の enumerate_jobs() から隣接メッシュ拡張ロジック（nb not in mesh_set の分岐）を削除し、各メッシュ単独の mesh_to_tile_range(meshcode) のみを取得するよう修正する。</t>
        </is>
      </c>
      <c r="N14" s="2" t="inlineStr"/>
      <c r="O14" s="2" t="inlineStr"/>
      <c r="P14" s="2" t="inlineStr">
        <is>
          <t>2026-06-07</t>
        </is>
      </c>
    </row>
    <row r="15" ht="40" customHeight="1">
      <c r="A15" s="2" t="inlineStr">
        <is>
          <t>ISSUE-014</t>
        </is>
      </c>
      <c r="B15" s="2" t="inlineStr">
        <is>
          <t>削除候補サミットの最近接検出ピーク特定</t>
        </is>
      </c>
      <c r="C15" s="2" t="inlineStr">
        <is>
          <t>deleted サミットが「どの検出ピークに最も近いか」をデータとして持ち、HTML ビューアと申請書で活用できるようにする。merge.py で全検出ピークとのハバーサイン距離を計算し最近接ピークを特定。追加カラム: dominant_peak_code / dominant_peak_dist_m。GeoJSON に LineString 追加。SRS コンテンツレビュー時（FR-009・FR-012・FR-013・FR-011）に合わせて仕様化・更新する。</t>
        </is>
      </c>
      <c r="D15" s="2" t="inlineStr">
        <is>
          <t>機能追加</t>
        </is>
      </c>
      <c r="E15" s="4" t="inlineStr">
        <is>
          <t>中</t>
        </is>
      </c>
      <c r="F15" s="2" t="inlineStr"/>
      <c r="G15" s="2" t="inlineStr"/>
      <c r="H15" s="2" t="inlineStr">
        <is>
          <t>2026-05-09</t>
        </is>
      </c>
      <c r="I15" s="2" t="inlineStr">
        <is>
          <t>SRS</t>
        </is>
      </c>
      <c r="J15" s="2" t="inlineStr"/>
      <c r="K15" s="2" t="inlineStr">
        <is>
          <t>解決済</t>
        </is>
      </c>
      <c r="L15" s="2" t="inlineStr"/>
      <c r="M15" s="2" t="inlineStr">
        <is>
          <t>ADR-SRS-008 の dominant peak 特定アルゴリズムを全面改訂。タイブレーク: Haversine 最近接 → 最小プロミネンスに変更。フォールバック廃止（包含なし時はログ警告 + 処理中止）。SRS FR-009 の主ピーク特定ロジックも同様に更新。フラグ名 is_tile_top → key_col_unresolved にリネーム（SRS 全体・ADR-SRS-004・ADR-SRS-008・GLOSSARY の全箇所を更新）。実装コード（src/*.c 等）への追従は別タスク（本 ISSUE のスコープ外）。</t>
        </is>
      </c>
      <c r="N15" s="2" t="inlineStr">
        <is>
          <t>【設計変更 2026-05-19】タイブレーク「Haversine 最近接」を「最小プロミネンス」に変更。最小プロミネンスのピークが地形学的に delete 候補サミットと同一の局所的な隆起を表すため。フォールバック廃止: フェーズ3.5 広域再解析後に包含なしが残るのは陸地最高峰のみと想定され稀少なため、自動処理せず中止 + 個別対応とする。フラグ名 is_tile_top はタイル（256×256px）の最頂点と誤読されやすいため key_col_unresolved に改名。【追加変更 2026-05-19】さらに肯定形に統一するため key_col_unresolved → key_col_resolved、並列フラグ area_truncated → area_complete に再リネーム（共に true=正常 で真偽値方向を揃えた）。実装コード追従 ISSUE は今後起票予定。</t>
        </is>
      </c>
      <c r="O15" s="2" t="inlineStr">
        <is>
          <t>2026-05-10</t>
        </is>
      </c>
      <c r="P15" s="2" t="inlineStr">
        <is>
          <t>2026-05-20</t>
        </is>
      </c>
    </row>
    <row r="16" ht="40" customHeight="1">
      <c r="A16" s="2" t="inlineStr">
        <is>
          <t>ISSUE-015</t>
        </is>
      </c>
      <c r="B16" s="2" t="inlineStr">
        <is>
          <t>HTML ビューアでの山岳名入力・ブラウザ完結出力</t>
        </is>
      </c>
      <c r="C16" s="2" t="inlineStr">
        <is>
          <t>GitHub Pages 上の HTML ビューアで山岳名（JP/EN）を入力し、申請書 XLSX・CSV・GeoJSON をブラウザ内で完結生成・ダウンロードできるようにする。XLSX 生成は SheetJS（JS ライブラリ）を使用。入力した名称は localStorage に保持し、次回アクセス時も復元する。GeoJSON に申請書生成に必要な全データを含めることが前提。SRS コンテンツレビュー時（FR-013・FR-011・FR-012）に仕様化・更新する。</t>
        </is>
      </c>
      <c r="D16" s="2" t="inlineStr">
        <is>
          <t>機能追加</t>
        </is>
      </c>
      <c r="E16" s="4" t="inlineStr">
        <is>
          <t>中</t>
        </is>
      </c>
      <c r="F16" s="2" t="inlineStr"/>
      <c r="G16" s="2" t="inlineStr"/>
      <c r="H16" s="2" t="inlineStr">
        <is>
          <t>2026-05-09</t>
        </is>
      </c>
      <c r="I16" s="2" t="inlineStr">
        <is>
          <t>SRS</t>
        </is>
      </c>
      <c r="J16" s="2" t="inlineStr"/>
      <c r="K16" s="2" t="inlineStr">
        <is>
          <t>解決済</t>
        </is>
      </c>
      <c r="L16" s="2" t="inlineStr"/>
      <c r="M16" s="2" t="inlineStr">
        <is>
          <t>GitHub Pages 公開ツールからローカル用HTMLビューア（docs/mockup/viewer_mockup.html）に方針変更。山岳名JP/EN入力フォームとlocalStorage保存を実装。FR-013に仕様として取り込み済み。</t>
        </is>
      </c>
      <c r="N16" s="2" t="inlineStr"/>
      <c r="O16" s="2" t="inlineStr">
        <is>
          <t>2026-05-13</t>
        </is>
      </c>
      <c r="P16" s="2" t="inlineStr">
        <is>
          <t>2026-05-17</t>
        </is>
      </c>
    </row>
    <row r="17" ht="40" customHeight="1">
      <c r="A17" s="2" t="inlineStr">
        <is>
          <t>ISSUE-016</t>
        </is>
      </c>
      <c r="B17" s="2" t="inlineStr">
        <is>
          <t>merge.py: --mesh-list 指定時は対象メッシュの CSV のみ読み込む</t>
        </is>
      </c>
      <c r="C17" s="2" t="inlineStr">
        <is>
          <t>現状は --mesh-list の有無に関わらず csv_dir 配下の全 CSV を glob で読み込む。SRS FR-008 の仕様に合わせ、--mesh-list 指定時は対象メッシュコードの CSV ファイルのみ読み込むよう load_peaks() を修正する。省略時は現行通り全 CSV を読み込む。</t>
        </is>
      </c>
      <c r="D17" s="2" t="inlineStr"/>
      <c r="E17" s="4" t="inlineStr">
        <is>
          <t>中</t>
        </is>
      </c>
      <c r="F17" s="2" t="inlineStr">
        <is>
          <t>merge.py</t>
        </is>
      </c>
      <c r="G17" s="2" t="inlineStr"/>
      <c r="H17" s="2" t="inlineStr">
        <is>
          <t>2026-05-09</t>
        </is>
      </c>
      <c r="I17" s="2" t="inlineStr">
        <is>
          <t>COD</t>
        </is>
      </c>
      <c r="J17" s="2" t="inlineStr">
        <is>
          <t>COD</t>
        </is>
      </c>
      <c r="K17" s="2" t="inlineStr">
        <is>
          <t>却下</t>
        </is>
      </c>
      <c r="L17" s="2" t="inlineStr">
        <is>
          <t>Sonnet</t>
        </is>
      </c>
      <c r="M17" s="2" t="inlineStr">
        <is>
          <t>scripts/merge.py の load_peaks() に --mesh-list 指定時の絞り込みロジックを追加する。指定メッシュコードのセットを受け取り、csv_dir 配下から {meshcode}.csv のみを対象にする。省略時は現行の glob 全読み込みを維持する。</t>
        </is>
      </c>
      <c r="N17" s="2" t="inlineStr"/>
      <c r="O17" s="2" t="inlineStr"/>
      <c r="P17" s="2" t="inlineStr">
        <is>
          <t>2026-06-07</t>
        </is>
      </c>
    </row>
    <row r="18" ht="40" customHeight="1">
      <c r="A18" s="2" t="inlineStr">
        <is>
          <t>ISSUE-017</t>
        </is>
      </c>
      <c r="B18" s="2" t="inlineStr">
        <is>
          <t>SRS: FR-008 と FR-009 の間に activation.geojson 統合ステップが必要</t>
        </is>
      </c>
      <c r="C18" s="2" t="inlineStr">
        <is>
          <t>FR-016 で出力される per-mesh の _activation.geojson を、FR-008 の per-mesh CSV 統合と同様に統合するステップが FR-009 の前に必要。FR-009 での point-in-polygon 突合時に統合済みの activation zone を参照できるようにする。SRS に新規 FR として追加するか FR-008 に含めるかを検討する。</t>
        </is>
      </c>
      <c r="D18" s="2" t="inlineStr"/>
      <c r="E18" s="4" t="inlineStr">
        <is>
          <t>中</t>
        </is>
      </c>
      <c r="F18" s="2" t="inlineStr">
        <is>
          <t>merge.py</t>
        </is>
      </c>
      <c r="G18" s="2" t="inlineStr"/>
      <c r="H18" s="2" t="inlineStr">
        <is>
          <t>2026-05-09</t>
        </is>
      </c>
      <c r="I18" s="2" t="inlineStr">
        <is>
          <t>SRS</t>
        </is>
      </c>
      <c r="J18" s="2" t="inlineStr"/>
      <c r="K18" s="2" t="inlineStr">
        <is>
          <t>解決済</t>
        </is>
      </c>
      <c r="L18" s="2" t="inlineStr"/>
      <c r="M18" s="2" t="inlineStr">
        <is>
          <t>SRS に FR-018（activation.geojson 統合ステップ）を新設。フェーズ3を FR-008 → FR-018 → FR-014 の構成に再設計し、FR-009 の前に統合済み activation.geojson が参照できるよう仕様化。コミット 5b633f5（2026-05-09）で対応完了。</t>
        </is>
      </c>
      <c r="N18" s="2" t="inlineStr"/>
      <c r="O18" s="2" t="inlineStr">
        <is>
          <t>2026-05-09</t>
        </is>
      </c>
      <c r="P18" s="2" t="inlineStr">
        <is>
          <t>2026-05-17</t>
        </is>
      </c>
    </row>
    <row r="19" ht="40" customHeight="1">
      <c r="A19" s="2" t="inlineStr">
        <is>
          <t>ISSUE-018</t>
        </is>
      </c>
      <c r="B19" s="2" t="inlineStr">
        <is>
          <t>FR-009: match_status 判定順序・deleted 定義・dominant フォールバック整理</t>
        </is>
      </c>
      <c r="C19" s="2" t="inlineStr">
        <is>
          <t>URD/SRS レビュー指摘 H-1 + H-2 + H-3。SRS FR-009 の match_status 判定に関する3つの論理矛盾を統合的に解決する。
(1) H-1: matched / new / dominant の判定順序が SRS L318-321 に明示されていない。検出ピークの AZ 内に既存 SOTA サミット A があり、かつコル等高線内（AZ 外）に別の SOTA サミット B がある場合、matched と dominant の両方の条件を満たす。
(2) H-2: sota_summit feature の match_status='deleted' の定義文が SRS にも GLOSSARY にもない。消去法で導出する状態。
(3) H-3: dominant peak フォールバック（最近接ピーク採用）時、peak の match_status が dominant 定義（コル等高線内に SOTA サミットあり）を満たさない場合があり、紐付け先 peak の match_status と sota_summit の match_status の対応関係が崩れる。FR-013 のフィーチャ構成（new フィーチャは sota_summit を含まない）とも矛盾。</t>
        </is>
      </c>
      <c r="D19" s="2" t="inlineStr">
        <is>
          <t>設計</t>
        </is>
      </c>
      <c r="E19" s="3" t="inlineStr">
        <is>
          <t>高</t>
        </is>
      </c>
      <c r="F19" s="2" t="inlineStr">
        <is>
          <t>解析エンジン</t>
        </is>
      </c>
      <c r="G19" s="2" t="inlineStr"/>
      <c r="H19" s="2" t="inlineStr">
        <is>
          <t>2026-05-14</t>
        </is>
      </c>
      <c r="I19" s="2" t="inlineStr">
        <is>
          <t>SRS</t>
        </is>
      </c>
      <c r="J19" s="2" t="inlineStr"/>
      <c r="K19" s="2" t="inlineStr">
        <is>
          <t>解決済</t>
        </is>
      </c>
      <c r="L19" s="2" t="inlineStr"/>
      <c r="M19" s="2" t="inlineStr">
        <is>
          <t>案 B（peak.match_status は変更せず、summit.dominant_peak_code で紐付けのみ）を採用。peak は常に match_status=new のまま、delete サミットが従属する dominant peak を dominant_peak_code で参照する形で実装。SRS FR-009・ADR-SRS-008 L29 参照。</t>
        </is>
      </c>
      <c r="N19" s="2" t="inlineStr"/>
      <c r="O19" s="2" t="inlineStr">
        <is>
          <t>2026-05-16</t>
        </is>
      </c>
      <c r="P19" s="2" t="inlineStr">
        <is>
          <t>2026-05-17</t>
        </is>
      </c>
    </row>
    <row r="20" ht="40" customHeight="1">
      <c r="A20" s="2" t="inlineStr">
        <is>
          <t>ISSUE-019</t>
        </is>
      </c>
      <c r="B20" s="2" t="inlineStr">
        <is>
          <t>FR-009: 仮サミットコード採番順序の規定</t>
        </is>
      </c>
      <c r="C20" s="2" t="inlineStr">
        <is>
          <t>URD/SRS レビュー指摘 H-4。SRS L312-317 で仮サミットコード（JAx/XX-A01 形式）の採番ルールが '01 からリセット' とだけ書かれており、同一エリア内での連番付与順序（緯度降順／経度順／peak_elev 降順／座標タプル昇順等）が未定義。NFR-003（決定論的出力）を満たすには採番順序の確定が必須。また、解析対象メッシュリストの変更（再実行）で既存仮コードが安定するかの規定もない（ビューア localStorage との整合性に影響）。</t>
        </is>
      </c>
      <c r="D20" s="2" t="inlineStr">
        <is>
          <t>設計</t>
        </is>
      </c>
      <c r="E20" s="3" t="inlineStr">
        <is>
          <t>高</t>
        </is>
      </c>
      <c r="F20" s="2" t="inlineStr">
        <is>
          <t>merge.py</t>
        </is>
      </c>
      <c r="G20" s="2" t="inlineStr"/>
      <c r="H20" s="2" t="inlineStr">
        <is>
          <t>2026-05-14</t>
        </is>
      </c>
      <c r="I20" s="2" t="inlineStr">
        <is>
          <t>SRS</t>
        </is>
      </c>
      <c r="J20" s="2" t="inlineStr"/>
      <c r="K20" s="2" t="inlineStr">
        <is>
          <t>解決済</t>
        </is>
      </c>
      <c r="L20" s="2" t="inlineStr"/>
      <c r="M20" s="2" t="inlineStr">
        <is>
          <t>FR-009 に追記:
(1) 採番順序を明示（推奨: peak_lat 降順 → peak_lon 昇順タイブレーク、または (peak_lat, peak_lon) 昇順タプル）
(2) 採番安定性ポリシーを規定（フル解析時のみ採番再生成 / 部分解析時は既存コード保持 / 等）
(3) NFR-003 とのトレース確認</t>
        </is>
      </c>
      <c r="N20" s="2" t="inlineStr">
        <is>
          <t>【Opus相談推奨】複数の独立した設計判断と副次的影響の整理が必要。
相談ポイント:
(1) 採番順序の選択肢比較（peak_lat降順→peak_lon昇順タイブレーク vs (peak_lat, peak_lon)昇順タプル vs その他）。実データでの順序安定性・可読性・申請書での扱いやすさを総合評価
(2) 採番安定性ポリシーの設計（フル解析時のみ採番再生成 / 部分解析時は既存コード保持 / その他）。将来の部分再実行ユースケース・ビューア localStorage との整合性・ユーザー混乱の回避を考慮
(3) (1)(2)の組み合わせがNFR-003（決定論的出力）と整合することの検証方法
(4) 既存仮コード割当がない初回実行と、再実行の境界ケースの扱い
【2026-05-20 訂正】対応完了コメントに記載した『プロミネンス降順 → peak_lat 降順 → peak_lon 昇順』は Claude の解釈ミス。正しくは『標高降順 → プロミネンス降順 → peak_lat 降順 → peak_lon 昇順』（標高が 1 次キー、プロミネンスは標高同値時のタイブレーク）。SRS FR-009 / NFR-003 も訂正済（commit にて反映）。</t>
        </is>
      </c>
      <c r="O20" s="2" t="inlineStr">
        <is>
          <t>2026-05-20</t>
        </is>
      </c>
      <c r="P20" s="2" t="inlineStr">
        <is>
          <t>2026-05-20</t>
        </is>
      </c>
    </row>
    <row r="21" ht="40" customHeight="1">
      <c r="A21" s="2" t="inlineStr">
        <is>
          <t>ISSUE-020</t>
        </is>
      </c>
      <c r="B21" s="2" t="inlineStr">
        <is>
          <t>FR-013 / FR-014: 手動調査待ちピークの GeoJSON フィーチャ扱い</t>
        </is>
      </c>
      <c r="C21" s="2" t="inlineStr">
        <is>
          <t>URD/SRS レビュー指摘 H-5。FR-014 で 5×5 エスカレーション後も is_tile_top=1 が残るピークは '手動調査待ち' としてフラグ維持のまま処理継続するが、このピークは:
(1) FR-016 によりコル等高線が生成されない（is_tile_top=1 はコル等高線非生成）
(2) FR-013 では new / dominant のフィーチャ構成にコル等高線が必須
ため矛盾する。area_truncated=true が 4×4 でも解消しなかったケースの挙動も FR-014 で未規定。</t>
        </is>
      </c>
      <c r="D21" s="2" t="inlineStr">
        <is>
          <t>設計</t>
        </is>
      </c>
      <c r="E21" s="3" t="inlineStr">
        <is>
          <t>高</t>
        </is>
      </c>
      <c r="F21" s="2" t="inlineStr">
        <is>
          <t>GeoJSON出力</t>
        </is>
      </c>
      <c r="G21" s="2" t="inlineStr"/>
      <c r="H21" s="2" t="inlineStr">
        <is>
          <t>2026-05-14</t>
        </is>
      </c>
      <c r="I21" s="2" t="inlineStr">
        <is>
          <t>SRS</t>
        </is>
      </c>
      <c r="J21" s="2" t="inlineStr"/>
      <c r="K21" s="2" t="inlineStr">
        <is>
          <t>解決済</t>
        </is>
      </c>
      <c r="L21" s="2" t="inlineStr"/>
      <c r="M21" s="2" t="inlineStr">
        <is>
          <t>delete判定ゾーンポリゴン方式（max(col_elev, peak_elev - delete_zone_max_drop) 以上の Flood Fill）を採用し、コル等高線ポリゴンを廃止。実装可能な仕様レベルまで確定。
Phase A 完了（SRS / ADR / GLOSSARY 改修）:
- ADR-SRS-011 (delete判定ゾーンポリゴン採用) 新規作成
- ADR-URD-007 / ADR-SRS-008 を delete判定ゾーン仕様に更新
- SRS FR-009 / FR-013 / FR-014 / FR-016 / 6.8 / 6.11 を delete判定ゾーン仕様に改修
- GLOSSARY に delete判定ゾーン用語追加、コル等高線ポリゴン削除
Phase B 完了（delete_zone_max_drop 実測確定）:
- analysis/sota_dem_elevation_diff.py 新規作成（4,600 件の JA サミットで abs(SOTA-DEM) を実測）
- 廃止サミット 86 件除外、有効 4,514 件の実測結果: 平均 2.09m / 最大 52.26m (JA/TK-014 大山)
- delete_zone_max_drop = 250m に確定（= 150 + ceil(52.26/50)*50）
- ADR-SRS-011 と SRS FR-016 を確定値で更新
Phase C-E（実装）は別 ISSUE に切り出して進める:
- ISSUE-040: C++/OpenCV で FR-016 実装（AZ + delete判定ゾーン、notes 更新済み）
- ISSUE-043: merge.py 改修（AZ/delete-zone PIP, 不備フラグ, exit code, dominant 改名）
- ISSUE-044: output_geojson.py 改修 + merged_viewer.html 実装
- ISSUE-045: params/config.ini.example に delete_zone_max_drop = 250 追加</t>
        </is>
      </c>
      <c r="N21" s="2" t="inlineStr">
        <is>
          <t>【議論結論 2026-05-21】
- 旧3案（A/B/C）は破棄。delete判定ゾーンポリゴン方式を採用。
- Flood Fill 閾値: max(col_elev, peak_elev - 250m) 以上（プロミネンス連動 + 250m キャップ）
- 250m の根拠: 暫定（感覚値）。Phase B で SOTA 全サミットの abs(SOTA標高-DEM標高) 分布から確定予定。
- 250m は config.ini パラメータ化（delete_zone_max_drop）。
- 既存サミットの判定: matched (AZ内) / delete (delete判定ゾーン内+AZ外) / unmatched (どちらでもない=エラー停止)
- unmatched 発生時は merge.py を non-zero exit、FR-013 (GeoJSON/HTML) 生成スキップ
- merged.csv に不備種別ごとの bool 列追加（is_unmatched_summit / is_area_incomplete / is_key_col_unresolved / is_out_of_range_summit / is_dem_invalid_summit）
- ADR-URD-007 維持（peak.match_status は matched/dominant/new、ポリゴンだけ置換）
- ADR-SRS-008 維持（主ピーク特定はプロミネンス最小）
- FR-014 広域解析の役割をコル特定のみに縮小（delete判定ゾーンは 3×3 完結）
【段取り】ハイブリッド方式
1. Phase A: SRS 改修（250m は TBD で記述）→ ユーザーレビュー
2. Phase B: 250m 実データ検証 → 値確定
3. Phase A 微更新（TBD → 確定値）
4. Phase C-E: 実装（C エンジン → merge.py → output_geojson.py）
【影響範囲】
- docs/02_SRS.md FR-009/013/014/016
- docs/decisions/ADR-URD-007/008（影響確認）
- docs/decisions/ADR-NNN-delete-zone-polygon.md（新規）
- docs/00_GLOSSARY.md
- src/analyze.c, src/mesh_analyze.c
- scripts/merge.py, scripts/output_geojson.py
- params/config.ini.example
【別 ISSUE 切り出し候補】
- area_complete=false ピークの隣接メッシュ合体問題
- area_complete スコープ明確化（AZ 用 / delete判定ゾーン用の分離）
- HTML ビューア（merged_viewer.html）実装範囲</t>
        </is>
      </c>
      <c r="O21" s="2" t="inlineStr">
        <is>
          <t>2026-05-21</t>
        </is>
      </c>
      <c r="P21" s="2" t="inlineStr">
        <is>
          <t>2026-05-22</t>
        </is>
      </c>
    </row>
    <row r="22" ht="40" customHeight="1">
      <c r="A22" s="2" t="inlineStr">
        <is>
          <t>ISSUE-021</t>
        </is>
      </c>
      <c r="B22" s="2" t="inlineStr">
        <is>
          <t>FR-014: 上書きスコープ（per-mesh 更新有無）の明確化</t>
        </is>
      </c>
      <c r="C22" s="2" t="inlineStr">
        <is>
          <t>URD/SRS レビュー指摘 M-1。FR-014 L287 で '再解析結果で統合済み CSV と merged_activation.geojson の該当レコードを上書き' とあるが、per-mesh CSV および &lt;meshcode&gt;_activation.geojson（中間ファイル）が更新されるか否か明示されていない。次回部分再実行時の挙動に影響する。</t>
        </is>
      </c>
      <c r="D22" s="2" t="inlineStr">
        <is>
          <t>改善</t>
        </is>
      </c>
      <c r="E22" s="4" t="inlineStr">
        <is>
          <t>中</t>
        </is>
      </c>
      <c r="F22" s="2" t="inlineStr">
        <is>
          <t>merge.py</t>
        </is>
      </c>
      <c r="G22" s="2" t="inlineStr"/>
      <c r="H22" s="2" t="inlineStr">
        <is>
          <t>2026-05-14</t>
        </is>
      </c>
      <c r="I22" s="2" t="inlineStr">
        <is>
          <t>SRS</t>
        </is>
      </c>
      <c r="J22" s="2" t="inlineStr"/>
      <c r="K22" s="2" t="inlineStr">
        <is>
          <t>解決済</t>
        </is>
      </c>
      <c r="L22" s="2" t="inlineStr"/>
      <c r="M22" s="2" t="inlineStr">
        <is>
          <t>FR-014 出力節に以下のいずれかを明示:
案A: 'per-mesh ファイルは更新せず、merged.csv / merged_activation.geojson のみ更新'
案B: '中間ファイルも更新する'（再現性向上のため）</t>
        </is>
      </c>
      <c r="N22" s="2" t="inlineStr">
        <is>
          <t>【最終決定】FR-014 は縮小版パイプライン構造を採用:
- 広域 per-mesh CSV/GeoJSON を新規出力するのみ
- 通常 per-mesh ファイル（&lt;meshcode&gt;.csv / &lt;meshcode&gt;_activation.geojson）は更新しない
- merged.csv / merged_activation.geojson への差分上書きも行わない
- merged 更新は FR-008/FR-018 の再実行（重複排除ロジックで広域結果が代表に選ばれる）で自動的に実施
反映先: SRS FR-014 / FR-008 / FR-018、ADR-SRS-004 Decision「出力スコープ」</t>
        </is>
      </c>
      <c r="O22" s="2" t="inlineStr">
        <is>
          <t>2026-05-18</t>
        </is>
      </c>
      <c r="P22" s="2" t="inlineStr">
        <is>
          <t>2026-05-20</t>
        </is>
      </c>
    </row>
    <row r="23" ht="40" customHeight="1">
      <c r="A23" s="2" t="inlineStr">
        <is>
          <t>ISSUE-022</t>
        </is>
      </c>
      <c r="B23" s="2" t="inlineStr">
        <is>
          <t>FR-017: 北方領土タイル判定基準（タイル中心点）の明示</t>
        </is>
      </c>
      <c r="C23" s="2" t="inlineStr">
        <is>
          <t>URD/SRS レビュー指摘 M-2。FR-017 L125 で 'excluded_tiles.txt = ポリゴン内のタイル座標リスト' とあるが、'ポリゴン内' の判定基準（タイル中心点 / タイルの任意点 / タイルとポリゴンの交差）が SRS 本文で未規定。ADR-URD-005 L47 では 'ポリゴン内に中心点が含まれる全タイル' と書かれているが SRS / GLOSSARY に反映されていない。</t>
        </is>
      </c>
      <c r="D23" s="2" t="inlineStr">
        <is>
          <t>改善</t>
        </is>
      </c>
      <c r="E23" s="4" t="inlineStr">
        <is>
          <t>中</t>
        </is>
      </c>
      <c r="F23" s="2" t="inlineStr">
        <is>
          <t>その他</t>
        </is>
      </c>
      <c r="G23" s="2" t="inlineStr"/>
      <c r="H23" s="2" t="inlineStr">
        <is>
          <t>2026-05-14</t>
        </is>
      </c>
      <c r="I23" s="2" t="inlineStr">
        <is>
          <t>SRS</t>
        </is>
      </c>
      <c r="J23" s="2" t="inlineStr"/>
      <c r="K23" s="2" t="inlineStr">
        <is>
          <t>解決済</t>
        </is>
      </c>
      <c r="L23" s="2" t="inlineStr">
        <is>
          <t>Claude</t>
        </is>
      </c>
      <c r="M23" s="2" t="inlineStr">
        <is>
          <t>FR-017 に 'タイル中心点が北方領土6村ポリゴンに含まれるタイルを列挙' と明示し、ADR-URD-005 と同じ規定を SRS に転記する。</t>
        </is>
      </c>
      <c r="N23" s="2" t="inlineStr"/>
      <c r="O23" s="2" t="inlineStr">
        <is>
          <t>2026-05-23</t>
        </is>
      </c>
      <c r="P23" s="2" t="inlineStr">
        <is>
          <t>2026-05-23</t>
        </is>
      </c>
    </row>
    <row r="24" ht="40" customHeight="1">
      <c r="A24" s="2" t="inlineStr">
        <is>
          <t>ISSUE-023</t>
        </is>
      </c>
      <c r="B24" s="2" t="inlineStr">
        <is>
          <t>NFR-003: 決定論性スコープから timestamp 除外を明記</t>
        </is>
      </c>
      <c r="C24" s="2" t="inlineStr">
        <is>
          <t>URD/SRS レビュー指摘 M-3。NFR-003 L527-529 で 'すべての出力が同一の内容になること' とあるが、merged.geojson の metadata.generated_at は実行時刻に依存するため完全な同一性は不可能。</t>
        </is>
      </c>
      <c r="D24" s="2" t="inlineStr">
        <is>
          <t>改善</t>
        </is>
      </c>
      <c r="E24" s="4" t="inlineStr">
        <is>
          <t>中</t>
        </is>
      </c>
      <c r="F24" s="2" t="inlineStr">
        <is>
          <t>その他</t>
        </is>
      </c>
      <c r="G24" s="2" t="inlineStr"/>
      <c r="H24" s="2" t="inlineStr">
        <is>
          <t>2026-05-14</t>
        </is>
      </c>
      <c r="I24" s="2" t="inlineStr">
        <is>
          <t>SRS</t>
        </is>
      </c>
      <c r="J24" s="2" t="inlineStr"/>
      <c r="K24" s="2" t="inlineStr">
        <is>
          <t>解決済</t>
        </is>
      </c>
      <c r="L24" s="2" t="inlineStr">
        <is>
          <t>Claude</t>
        </is>
      </c>
      <c r="M24" s="2" t="inlineStr">
        <is>
          <t>NFR-003 に 'metadata.generated_at 等の実行時タイムスタンプを除き、ピーク座標・標高・突合結果・採番が同一であること' と除外規定を明記。</t>
        </is>
      </c>
      <c r="N24" s="2" t="inlineStr"/>
      <c r="O24" s="2" t="inlineStr">
        <is>
          <t>2026-05-23</t>
        </is>
      </c>
      <c r="P24" s="2" t="inlineStr">
        <is>
          <t>2026-05-23</t>
        </is>
      </c>
    </row>
    <row r="25" ht="40" customHeight="1">
      <c r="A25" s="2" t="inlineStr">
        <is>
          <t>ISSUE-024</t>
        </is>
      </c>
      <c r="B25" s="2" t="inlineStr">
        <is>
          <t>FR-015: 標高地形図の縮小方法を規定</t>
        </is>
      </c>
      <c r="C25" s="2" t="inlineStr">
        <is>
          <t>URD/SRS レビュー指摘 M-4。FR-015 / 6.7 で標高地形図を '長辺 6000px に縮小（アスペクト比保持）' とあるが、縮小方式（サブサンプリング / バイリニア / max pooling 等）が未規定。NODATA を保持するか否かなど挙動が変わる。</t>
        </is>
      </c>
      <c r="D25" s="2" t="inlineStr">
        <is>
          <t>改善</t>
        </is>
      </c>
      <c r="E25" s="4" t="inlineStr">
        <is>
          <t>中</t>
        </is>
      </c>
      <c r="F25" s="2" t="inlineStr">
        <is>
          <t>解析エンジン</t>
        </is>
      </c>
      <c r="G25" s="2" t="inlineStr"/>
      <c r="H25" s="2" t="inlineStr">
        <is>
          <t>2026-05-14</t>
        </is>
      </c>
      <c r="I25" s="2" t="inlineStr">
        <is>
          <t>SRS</t>
        </is>
      </c>
      <c r="J25" s="2" t="inlineStr">
        <is>
          <t>SRS</t>
        </is>
      </c>
      <c r="K25" s="2" t="inlineStr">
        <is>
          <t>解決済</t>
        </is>
      </c>
      <c r="L25" s="2" t="inlineStr"/>
      <c r="M25" s="2" t="inlineStr">
        <is>
          <t>FR-015 に縮小方式を明示する（推奨: max pooling でダウンサンプル、NODATA は除外）。もしくは HLD で規定する旨を SRS に明記。</t>
        </is>
      </c>
      <c r="N25" s="2" t="inlineStr"/>
      <c r="O25" s="2" t="inlineStr">
        <is>
          <t>2026-05-23</t>
        </is>
      </c>
      <c r="P25" s="2" t="inlineStr">
        <is>
          <t>2026-05-23</t>
        </is>
      </c>
    </row>
    <row r="26" ht="40" customHeight="1">
      <c r="A26" s="2" t="inlineStr">
        <is>
          <t>ISSUE-025</t>
        </is>
      </c>
      <c r="B26" s="2" t="inlineStr">
        <is>
          <t>FR-009 等: 標高バンド境界値（points 1/2/4/6/8/10）の規定</t>
        </is>
      </c>
      <c r="C26" s="2" t="inlineStr">
        <is>
          <t>URD/SRS レビュー指摘 M-5。FR-009 / FR-013 / FR-012 の points / sota_points カラムで '標高バンドに基づくポイント数（1/2/4/6/8/10）' とあるが、各バンドの標高境界値（何 m 以上で何 pt）が SRS にない。sotl.as 由来のはずだが SOTA 日本支部の正式表との対応を SRS / GLOSSARY で明示すべきか HLD で十分か議論が必要。緯度依存の可能性もあり。</t>
        </is>
      </c>
      <c r="D26" s="2" t="inlineStr">
        <is>
          <t>設計</t>
        </is>
      </c>
      <c r="E26" s="4" t="inlineStr">
        <is>
          <t>中</t>
        </is>
      </c>
      <c r="F26" s="2" t="inlineStr">
        <is>
          <t>merge.py</t>
        </is>
      </c>
      <c r="G26" s="2" t="inlineStr"/>
      <c r="H26" s="2" t="inlineStr">
        <is>
          <t>2026-05-14</t>
        </is>
      </c>
      <c r="I26" s="2" t="inlineStr">
        <is>
          <t>SRS</t>
        </is>
      </c>
      <c r="J26" s="2" t="inlineStr"/>
      <c r="K26" s="2" t="inlineStr">
        <is>
          <t>解決済</t>
        </is>
      </c>
      <c r="L26" s="2" t="inlineStr"/>
      <c r="M26" s="2" t="inlineStr">
        <is>
          <t>FR-009 の用語定義または GLOSSARY で標高バンド境界表を提示する（SOTA 日本支部の正式表を出典として引用）。緯度区分がある場合は区分も含めて表で記述。</t>
        </is>
      </c>
      <c r="N26" s="2" t="inlineStr">
        <is>
          <t>【2026-05-22 対応完了】GLOSSARY に SOTA 日本支部参照マニュアル（2025年7月改定版）に基づく標高バンド表を追加（全国統一・地域依存なし）。SRS FR-009 に変更申請判定（Points バンド遷移）セクションを追加し、GLOSSARY への参照リンクで出典を明示。ref/SOURCES.md にも出典エントリを追加。本 ISSUE は ISSUE-046（変更申請判定スコープ変更）に統合。</t>
        </is>
      </c>
      <c r="O26" s="2" t="inlineStr">
        <is>
          <t>2026-05-22</t>
        </is>
      </c>
      <c r="P26" s="2" t="inlineStr">
        <is>
          <t>2026-05-22</t>
        </is>
      </c>
    </row>
    <row r="27" ht="40" customHeight="1">
      <c r="A27" s="2" t="inlineStr">
        <is>
          <t>ISSUE-026</t>
        </is>
      </c>
      <c r="B27" s="2" t="inlineStr">
        <is>
          <t>SRS 用語統一（Keyコル / dominant peak / ピーク・サミット候補）</t>
        </is>
      </c>
      <c r="C27" s="2" t="inlineStr">
        <is>
          <t>URD/SRS レビュー指摘 L-1 + L-2 + L-3。
L-1: 'Keyコル' / 'Key Col' / 'key_col_boundary' / 'prominence boundary polygon' が FR-006 / FR-009 / FR-016 / FR-018 で混在。
L-2: 'ピーク候補' / 'サミット候補' / 'ピーク' / 'サミット' の使い分けが不統一。GLOSSARY ではサミット = プロミネンス 150m 以上のピークと定義。
L-3: 'dominant peak' と 'ドミナントピーク' が GLOSSARY 見出しと本文で混在。</t>
        </is>
      </c>
      <c r="D27" s="2" t="inlineStr">
        <is>
          <t>改善</t>
        </is>
      </c>
      <c r="E27" s="5" t="inlineStr">
        <is>
          <t>低</t>
        </is>
      </c>
      <c r="F27" s="2" t="inlineStr">
        <is>
          <t>その他</t>
        </is>
      </c>
      <c r="G27" s="2" t="inlineStr"/>
      <c r="H27" s="2" t="inlineStr">
        <is>
          <t>2026-05-14</t>
        </is>
      </c>
      <c r="I27" s="2" t="inlineStr">
        <is>
          <t>SRS</t>
        </is>
      </c>
      <c r="J27" s="2" t="inlineStr"/>
      <c r="K27" s="2" t="inlineStr">
        <is>
          <t>解決済</t>
        </is>
      </c>
      <c r="L27" s="2" t="inlineStr"/>
      <c r="M27" s="2" t="inlineStr">
        <is>
          <t>表記ルールを SRS 冒頭または GLOSSARY に明示し、全文を統一:
(1) 本文表記: 'Keyコル'、プロパティ名 / feature_type 値: 'key_col_boundary' に統一
(2) 130m フィルタ後 = 'ピーク候補'、150m フィルタ後 = 'サミット候補' に統一
(3) 'dominant peak' は本文・GLOSSARY 見出しとも英語表記に統一</t>
        </is>
      </c>
      <c r="N27" s="2" t="inlineStr"/>
      <c r="O27" s="2" t="inlineStr">
        <is>
          <t>2026-05-17</t>
        </is>
      </c>
      <c r="P27" s="2" t="inlineStr">
        <is>
          <t>2026-05-17</t>
        </is>
      </c>
    </row>
    <row r="28" ht="40" customHeight="1">
      <c r="A28" s="2" t="inlineStr">
        <is>
          <t>ISSUE-027</t>
        </is>
      </c>
      <c r="B28" s="2" t="inlineStr">
        <is>
          <t>GLOSSARY 補完（削除候補・dominant peak 見出し統一）</t>
        </is>
      </c>
      <c r="C28" s="2" t="inlineStr">
        <is>
          <t>URD/SRS レビュー指摘 L-4。'削除候補（deleted）' が用語集に独立項目として未定義。dominant peak の説明文で言及されるのみ。</t>
        </is>
      </c>
      <c r="D28" s="2" t="inlineStr">
        <is>
          <t>改善</t>
        </is>
      </c>
      <c r="E28" s="5" t="inlineStr">
        <is>
          <t>低</t>
        </is>
      </c>
      <c r="F28" s="2" t="inlineStr">
        <is>
          <t>その他</t>
        </is>
      </c>
      <c r="G28" s="2" t="inlineStr"/>
      <c r="H28" s="2" t="inlineStr">
        <is>
          <t>2026-05-14</t>
        </is>
      </c>
      <c r="I28" s="2" t="inlineStr">
        <is>
          <t>SRS</t>
        </is>
      </c>
      <c r="J28" s="2" t="inlineStr"/>
      <c r="K28" s="2" t="inlineStr">
        <is>
          <t>解決済</t>
        </is>
      </c>
      <c r="L28" s="2" t="inlineStr">
        <is>
          <t>Claude</t>
        </is>
      </c>
      <c r="M28" s="2" t="inlineStr">
        <is>
          <t>GLOSSARY に以下を追加:
(1) '削除候補（deleted サミット）' を独立項目として追加（ISSUE-018 の sota_summit.match_status=deleted 定義と整合）
(2) ISSUE-026 と協調して 'dominant peak' 見出しを英語表記に統一</t>
        </is>
      </c>
      <c r="N28" s="2" t="inlineStr"/>
      <c r="O28" s="2" t="inlineStr">
        <is>
          <t>2026-05-23</t>
        </is>
      </c>
      <c r="P28" s="2" t="inlineStr">
        <is>
          <t>2026-05-23</t>
        </is>
      </c>
    </row>
    <row r="29" ht="40" customHeight="1">
      <c r="A29" s="2" t="inlineStr">
        <is>
          <t>ISSUE-028</t>
        </is>
      </c>
      <c r="B29" s="2" t="inlineStr">
        <is>
          <t>フォールバック規定の集約（FR-003 / FR-017 / 6.9 の重複解消）</t>
        </is>
      </c>
      <c r="C29" s="2" t="inlineStr">
        <is>
          <t>URD/SRS レビュー指摘 L-5。excluded_tiles.txt / regions.geojson / municipalities.geojson の未存在時フォールバック動作が FR-003 / FR-017 / 6.9 の3箇所で重複記載されている。変更時の同期コストが高い。</t>
        </is>
      </c>
      <c r="D29" s="2" t="inlineStr">
        <is>
          <t>改善</t>
        </is>
      </c>
      <c r="E29" s="5" t="inlineStr">
        <is>
          <t>低</t>
        </is>
      </c>
      <c r="F29" s="2" t="inlineStr">
        <is>
          <t>その他</t>
        </is>
      </c>
      <c r="G29" s="2" t="inlineStr"/>
      <c r="H29" s="2" t="inlineStr">
        <is>
          <t>2026-05-14</t>
        </is>
      </c>
      <c r="I29" s="2" t="inlineStr">
        <is>
          <t>SRS</t>
        </is>
      </c>
      <c r="J29" s="2" t="inlineStr"/>
      <c r="K29" s="2" t="inlineStr">
        <is>
          <t>解決済</t>
        </is>
      </c>
      <c r="L29" s="2" t="inlineStr">
        <is>
          <t>Claude</t>
        </is>
      </c>
      <c r="M29" s="2" t="inlineStr">
        <is>
          <t>フォールバック規定を 1 箇所（推奨: FR-017 のみ）に集約し、他箇所からは '詳細は FR-017 参照' とリンクする。</t>
        </is>
      </c>
      <c r="N29" s="2" t="inlineStr"/>
      <c r="O29" s="2" t="inlineStr">
        <is>
          <t>2026-05-23</t>
        </is>
      </c>
      <c r="P29" s="2" t="inlineStr">
        <is>
          <t>2026-05-23</t>
        </is>
      </c>
    </row>
    <row r="30" ht="40" customHeight="1">
      <c r="A30" s="2" t="inlineStr">
        <is>
          <t>ISSUE-029</t>
        </is>
      </c>
      <c r="B30" s="2" t="inlineStr">
        <is>
          <t>UR-008 / UR-009 の要件性検討（NFR への再マップ）</t>
        </is>
      </c>
      <c r="C30" s="2" t="inlineStr">
        <is>
          <t>URD/SRS レビュー指摘 U-1。
UR-008: 'ドキュメントに従って環境構築から成果物生成まで実行できること'
UR-009: '仕様書・設計書の内容とプログラムの実装が整合していること'
両者ともユーザーニーズというよりプロセス品質目標。トレース対象として残すなら扱いを確定したい。現状 NFR-003 / NFR-007 が部分的に対応しているが対応関係が暗黙的。</t>
        </is>
      </c>
      <c r="D30" s="2" t="inlineStr">
        <is>
          <t>設計</t>
        </is>
      </c>
      <c r="E30" s="4" t="inlineStr">
        <is>
          <t>中</t>
        </is>
      </c>
      <c r="F30" s="2" t="inlineStr">
        <is>
          <t>その他</t>
        </is>
      </c>
      <c r="G30" s="2" t="inlineStr"/>
      <c r="H30" s="2" t="inlineStr">
        <is>
          <t>2026-05-14</t>
        </is>
      </c>
      <c r="I30" s="2" t="inlineStr">
        <is>
          <t>URD</t>
        </is>
      </c>
      <c r="J30" s="2" t="inlineStr">
        <is>
          <t>SRS</t>
        </is>
      </c>
      <c r="K30" s="2" t="inlineStr">
        <is>
          <t>解決済</t>
        </is>
      </c>
      <c r="L30" s="2" t="inlineStr"/>
      <c r="M30" s="2" t="inlineStr">
        <is>
          <t>以下のいずれかに整理:
案A: UR-008 / UR-009 を URD に残しつつ '(品質要件)' と明示し、SRS で NFR-XXX に明示マップ
案B: URD から削除し、SRS の NFR として独立記載
案C: URD に残し、トレース確認のための専用節を新設</t>
        </is>
      </c>
      <c r="N30" s="2" t="inlineStr">
        <is>
          <t>【Opus相談推奨】URD/SRS構造に関わる設計哲学的判断。後から変更すると影響範囲が大きい。
相談ポイント:
(1) 案A・案B・案Cそれぞれの長所短所。要件管理の一般的なプラクティスに照らした評価
(2) UR-008（環境構築から成果物生成までの実行可能性）とUR-009（仕様・実装の整合性）は本質的に '品質目標' であり、ユーザー要求とは性質が異なる。これをURDに残すべきか、NFRに移すべきか
(3) ISO/IEC 25010 等の品質特性モデルとのマッピング
(4) 既存のNFR-003 / NFR-007との対応関係を明示するか、独立した品質目標として扱うか
(5) ISSUE-031（UR↔FR/NFRトレース調査）・ISSUE-032（RTM作成）の進め方への影響</t>
        </is>
      </c>
      <c r="O30" s="2" t="inlineStr">
        <is>
          <t>2026-05-24</t>
        </is>
      </c>
      <c r="P30" s="2" t="inlineStr">
        <is>
          <t>2026-05-24</t>
        </is>
      </c>
    </row>
    <row r="31" ht="40" customHeight="1">
      <c r="A31" s="2" t="inlineStr">
        <is>
          <t>ISSUE-030</t>
        </is>
      </c>
      <c r="B31" s="2" t="inlineStr">
        <is>
          <t>UR-006: 作業用 / 公開用 HTML の 2 層構造を URD に反映</t>
        </is>
      </c>
      <c r="C31" s="2" t="inlineStr">
        <is>
          <t>URD/SRS レビュー指摘 U-2。URD UR-006 では 1 つの HTML ビューアとして記述されているが、SRS では '作業用 HTML ビューア（6.5）' と '公開用 HTML（6.12）' の 2 層構造に展開されている。URD 本文または GLOSSARY でこの 2 層構造に触れておくとトレーサビリティが明確になる。</t>
        </is>
      </c>
      <c r="D31" s="2" t="inlineStr">
        <is>
          <t>改善</t>
        </is>
      </c>
      <c r="E31" s="5" t="inlineStr">
        <is>
          <t>低</t>
        </is>
      </c>
      <c r="F31" s="2" t="inlineStr">
        <is>
          <t>その他</t>
        </is>
      </c>
      <c r="G31" s="2" t="inlineStr"/>
      <c r="H31" s="2" t="inlineStr">
        <is>
          <t>2026-05-14</t>
        </is>
      </c>
      <c r="I31" s="2" t="inlineStr">
        <is>
          <t>URD</t>
        </is>
      </c>
      <c r="J31" s="2" t="inlineStr"/>
      <c r="K31" s="2" t="inlineStr">
        <is>
          <t>解決済</t>
        </is>
      </c>
      <c r="L31" s="2" t="inlineStr">
        <is>
          <t>Claude</t>
        </is>
      </c>
      <c r="M31" s="2" t="inlineStr">
        <is>
          <t>URD UR-006 の要件文または前提・制約に '作業用ビューア（山岳名入力・XLSX エクスポート）と公開用 HTML（閲覧専用）の 2 層構造' を反映する。</t>
        </is>
      </c>
      <c r="N31" s="2" t="inlineStr"/>
      <c r="O31" s="2" t="inlineStr">
        <is>
          <t>2026-05-23</t>
        </is>
      </c>
      <c r="P31" s="2" t="inlineStr">
        <is>
          <t>2026-05-23</t>
        </is>
      </c>
    </row>
    <row r="32" ht="40" customHeight="1">
      <c r="A32" s="6" t="inlineStr">
        <is>
          <t>ISSUE-031</t>
        </is>
      </c>
      <c r="B32" s="6" t="inlineStr">
        <is>
          <t>SRS: 各 UR に対する FR/NFR の対応漏れ調査と『対応 UR』記述の補完</t>
        </is>
      </c>
      <c r="C32" s="6" t="inlineStr">
        <is>
          <t>ユーザー指摘: 各 FR / NFR の '対応 UR' が記載されているが漏れがある感触あり。本 issue で逆方向（各 UR ← 対応 FR/NFR）をトレースし、漏れている箇所を補完する。
依存: ISSUE-018〜ISSUE-030 の改訂結果（特に H-1〜H-3 や U-1 によって UR ↔ FR の対応関係が変わる可能性）。
このため第4段（URD 改訂後）に着手するのが効率的。</t>
        </is>
      </c>
      <c r="D32" s="6" t="inlineStr">
        <is>
          <t>調査</t>
        </is>
      </c>
      <c r="E32" s="3" t="inlineStr">
        <is>
          <t>高</t>
        </is>
      </c>
      <c r="F32" s="6" t="inlineStr">
        <is>
          <t>その他</t>
        </is>
      </c>
      <c r="G32" s="6" t="inlineStr"/>
      <c r="H32" s="6" t="inlineStr">
        <is>
          <t>2026-05-14</t>
        </is>
      </c>
      <c r="I32" s="6" t="inlineStr">
        <is>
          <t>SRS</t>
        </is>
      </c>
      <c r="J32" s="6" t="inlineStr">
        <is>
          <t>SRS</t>
        </is>
      </c>
      <c r="K32" s="6" t="inlineStr">
        <is>
          <t>未対応</t>
        </is>
      </c>
      <c r="L32" s="6" t="inlineStr"/>
      <c r="M32" s="6" t="inlineStr">
        <is>
          <t>(1) UR-001 〜 UR-010 を縦軸、現状の対応 FR/NFR を横軸に整理した一覧表を作成し漏れを抽出
(2) 漏れている対応関係を該当 FR / NFR の '対応 UR' フィールドに追記
(3) ISSUE-031（RTM）作成の前提データとして提供</t>
        </is>
      </c>
      <c r="N32" s="6" t="inlineStr">
        <is>
          <t>UR-009 削除・NFR-003 対応 UR を UR-004/005 に・NFR-007 対応 UR を UR-008 に振り替え済み（ISSUE-029 対応、2026-05-24）</t>
        </is>
      </c>
      <c r="O32" s="6" t="inlineStr"/>
      <c r="P32" s="6" t="inlineStr"/>
    </row>
    <row r="33" ht="40" customHeight="1">
      <c r="A33" s="7" t="inlineStr">
        <is>
          <t>ISSUE-032</t>
        </is>
      </c>
      <c r="B33" s="7" t="inlineStr">
        <is>
          <t>SRS: 要求トレーサビリティ・マトリックス（RTM）の追加</t>
        </is>
      </c>
      <c r="C33" s="7" t="inlineStr">
        <is>
          <t>ユーザー指摘: SRS 末尾に要求トレーサビリティ・マトリックスを追加する。
仕様:
(1) 縦軸: UR-001 〜 UR-010（要件 ID + 要件タイトル）
(2) 横軸: FR-001 〜 FR-018 + NFR-001 〜 NFR-008（各機能 / 非機能 ID + 概要タイトル）
(3) セル: 該当する場合 ◯、しない場合は空欄
(4) 判定基準: 当該 FR/NFR が当該 UR の達成に寄与する場合に ◯
(5) 行末 / 列末に対応数の合計を入れて網羅性を視覚化
依存: 他全 issue の完了。FR/NFR 内容が確定した状態で RTM を構築する。</t>
        </is>
      </c>
      <c r="D33" s="7" t="inlineStr">
        <is>
          <t>機能追加</t>
        </is>
      </c>
      <c r="E33" s="3" t="inlineStr">
        <is>
          <t>高</t>
        </is>
      </c>
      <c r="F33" s="7" t="inlineStr">
        <is>
          <t>その他</t>
        </is>
      </c>
      <c r="G33" s="7" t="inlineStr"/>
      <c r="H33" s="7" t="inlineStr">
        <is>
          <t>2026-05-14</t>
        </is>
      </c>
      <c r="I33" s="7" t="inlineStr">
        <is>
          <t>SRS</t>
        </is>
      </c>
      <c r="J33" s="7" t="inlineStr">
        <is>
          <t>SRS</t>
        </is>
      </c>
      <c r="K33" s="7" t="inlineStr">
        <is>
          <t>未対応</t>
        </is>
      </c>
      <c r="L33" s="7" t="inlineStr"/>
      <c r="M33" s="7" t="inlineStr">
        <is>
          <t>SRS に '10. 要求トレーサビリティ・マトリックス' を新章として追加。
- FR セクションと NFR セクションを 2 つの表に分割するか、1 つにまとめるかは可読性で判断
- 目次にもセクション 10 を追加
- ISSUE-031 の調査結果を反映</t>
        </is>
      </c>
      <c r="N33" s="7" t="inlineStr"/>
      <c r="O33" s="7" t="inlineStr"/>
      <c r="P33" s="7" t="inlineStr"/>
    </row>
    <row r="34" ht="40" customHeight="1">
      <c r="A34" s="2" t="inlineStr">
        <is>
          <t>ISSUE-033</t>
        </is>
      </c>
      <c r="B34" s="2" t="inlineStr">
        <is>
          <t>SRS FR-018: FR-014 参照記述の整合性修正（フェーズ構成組み替えの取り残し）</t>
        </is>
      </c>
      <c r="C34" s="2" t="inlineStr">
        <is>
          <t>ISSUE-018 確認時に Opus が独立検証で発見した残課題。2026-05-16 のフェーズ構成組み替えで FR-014 を per-mesh フェーズ2 へ移動したが、SRS FR-018 本文に旧設計の記述が残っている。
- L291: 「（いずれも FR-014 で後処理される）」← FR-014 はフェーズ2 で完了済みのため矛盾
- L294: 「統合後の GeoJSON は FR-014 の入力として使用する」← フェーズ3 出力がフェーズ2 入力になる循環参照
- L304（FR-009 入力）: FR-014 完了タイミングの表現が薄く、読み手依存になっている可能性</t>
        </is>
      </c>
      <c r="D34" s="2" t="inlineStr">
        <is>
          <t>設計</t>
        </is>
      </c>
      <c r="E34" s="3" t="inlineStr">
        <is>
          <t>高</t>
        </is>
      </c>
      <c r="F34" s="2" t="inlineStr">
        <is>
          <t>解析エンジン</t>
        </is>
      </c>
      <c r="G34" s="2" t="inlineStr"/>
      <c r="H34" s="2" t="inlineStr">
        <is>
          <t>2026-05-17</t>
        </is>
      </c>
      <c r="I34" s="2" t="inlineStr">
        <is>
          <t>SRS</t>
        </is>
      </c>
      <c r="J34" s="2" t="inlineStr"/>
      <c r="K34" s="2" t="inlineStr">
        <is>
          <t>解決済</t>
        </is>
      </c>
      <c r="L34" s="2" t="inlineStr"/>
      <c r="M34" s="2" t="inlineStr">
        <is>
          <t>(1) L291 の括弧書き「（いずれも FR-014 で後処理される）」を削除またはフェーズ2 完了済み前提の表現に修正
(2) L294 を削除または FR-009 入力として使う旨に修正
(3) L304 FR-009 入力記述で FR-014 の per-mesh 完了タイミング明示を再確認
(4) フェーズ2 内の FR-016 → FR-014 → FR-007 の処理順序が SRS から読み取れるかも合わせて確認</t>
        </is>
      </c>
      <c r="N34" s="2" t="inlineStr">
        <is>
          <t>当初方針（フェーズ2 配置前提の参照記述整合化）から大幅に範囲拡大。
FR-014 をフェーズ3.5（新設）に移し、縮小版パイプラインのループ構造
（N=4→5→6 エスカレーション、per-mesh エンジンを広域モードで再呼び出し
→ FR-008/FR-018 再実行で merged 再生成）として全面書き直し。
関連 FR（FR-004/006/008/009/016/018）も整合化。ISSUE-021 同時解消。
詳細は ADR-SRS-004（決定日 2026-05-18 追記）を参照。
関連 commit: 8f273a8（暫定・却下）→ 282f427（確定）</t>
        </is>
      </c>
      <c r="O34" s="2" t="inlineStr">
        <is>
          <t>2026-05-18</t>
        </is>
      </c>
      <c r="P34" s="2" t="inlineStr">
        <is>
          <t>2026-05-19</t>
        </is>
      </c>
    </row>
    <row r="35" ht="40" customHeight="1">
      <c r="A35" s="2" t="inlineStr">
        <is>
          <t>ISSUE-034</t>
        </is>
      </c>
      <c r="B35" s="2" t="inlineStr">
        <is>
          <t>tracker: ISSUE-018 の resolution 文を実装実態（案 B 採用）に合わせて更新</t>
        </is>
      </c>
      <c r="C35" s="2" t="inlineStr">
        <is>
          <t>ISSUE-018 の resolution 文に「案A（peak も dominant に昇格）または案B…から選定」と書かれているが、実装方針は案 B（peak 昇格なし）で確定済み（SRS L336 / ADR-SRS-008 L29）。後から履歴を辿る際の誤読防止のため、resolution 文を案 B 採用前提の記述に更新する。</t>
        </is>
      </c>
      <c r="D35" s="2" t="inlineStr">
        <is>
          <t>改善</t>
        </is>
      </c>
      <c r="E35" s="5" t="inlineStr">
        <is>
          <t>低</t>
        </is>
      </c>
      <c r="F35" s="2" t="inlineStr">
        <is>
          <t>その他</t>
        </is>
      </c>
      <c r="G35" s="2" t="inlineStr"/>
      <c r="H35" s="2" t="inlineStr">
        <is>
          <t>2026-05-17</t>
        </is>
      </c>
      <c r="I35" s="2" t="inlineStr"/>
      <c r="J35" s="2" t="inlineStr"/>
      <c r="K35" s="2" t="inlineStr">
        <is>
          <t>解決済</t>
        </is>
      </c>
      <c r="L35" s="2" t="inlineStr">
        <is>
          <t>Claude</t>
        </is>
      </c>
      <c r="M35" s="2" t="inlineStr">
        <is>
          <t>tracker のレコード編集機能で ISSUE-018 の resolution フィールドを書き換え、「案 B（peak.match_status は変更せず、summit.dominant_peak_code で紐付けのみ）を採用」と明記する。</t>
        </is>
      </c>
      <c r="N35" s="2" t="inlineStr"/>
      <c r="O35" s="2" t="inlineStr">
        <is>
          <t>2026-05-23</t>
        </is>
      </c>
      <c r="P35" s="2" t="inlineStr">
        <is>
          <t>2026-05-23</t>
        </is>
      </c>
    </row>
    <row r="36" ht="40" customHeight="1">
      <c r="A36" s="2" t="inlineStr">
        <is>
          <t>ISSUE-035</t>
        </is>
      </c>
      <c r="B36" s="2" t="inlineStr">
        <is>
          <t>SRS: 竹島除外方針の記述追加・ADR-URD-009 リンク</t>
        </is>
      </c>
      <c r="C36" s="2" t="inlineStr">
        <is>
          <t>URD UR-001・ADR-URD-009 に竹島除外方針を追加済み。SRS の前提・制約・スコープ外・FR-003 関連箇所に竹島の記述を追加し、ADR-URD-009 へのリンクを貼る。北方領土の記述（ADR-URD-005 参照）に準じた形で記載すること。</t>
        </is>
      </c>
      <c r="D36" s="2" t="inlineStr"/>
      <c r="E36" s="4" t="inlineStr">
        <is>
          <t>中</t>
        </is>
      </c>
      <c r="F36" s="2" t="inlineStr"/>
      <c r="G36" s="2" t="inlineStr"/>
      <c r="H36" s="2" t="inlineStr">
        <is>
          <t>2026-05-17</t>
        </is>
      </c>
      <c r="I36" s="2" t="inlineStr">
        <is>
          <t>SRS</t>
        </is>
      </c>
      <c r="J36" s="2" t="inlineStr"/>
      <c r="K36" s="2" t="inlineStr">
        <is>
          <t>解決済</t>
        </is>
      </c>
      <c r="L36" s="2" t="inlineStr">
        <is>
          <t>Claude</t>
        </is>
      </c>
      <c r="M36" s="2" t="inlineStr">
        <is>
          <t>北方領土の記述（ADR-URD-005 参照）に準じて以下3箇所に竹島の記述を追加する:
(1) 8.前提・制約（877行目）: 北方領土の記述の直後に「竹島（島根県）が含まれるメッシュ 5531 は mesh_list_japan.txt から除外済み（ADR-URD-009 参照）」を追加
(2) 9.スコープ外（892行目）: 北方領土の行の直後に「竹島に所在するピーク（韓国 SOTA サミット HL/GB-430 として登録済み。SOTA 日本支部の管轄外のため。除外方法は ADR-URD-009 で規定）」を追加
(3) FR-003（202行目付近）: 北方領土タイル除外の記述の後に「竹島はメッシュ除外（ADR-URD-009）で対応するため FR-003 での追加処理はない」旨を注記</t>
        </is>
      </c>
      <c r="N36" s="2" t="inlineStr"/>
      <c r="O36" s="2" t="inlineStr">
        <is>
          <t>2026-05-23</t>
        </is>
      </c>
      <c r="P36" s="2" t="inlineStr">
        <is>
          <t>2026-05-23</t>
        </is>
      </c>
    </row>
    <row r="37" ht="40" customHeight="1">
      <c r="A37" s="2" t="inlineStr">
        <is>
          <t>ISSUE-036</t>
        </is>
      </c>
      <c r="B37" s="2" t="inlineStr">
        <is>
          <t>COD: mesh_list_japan.txt からメッシュ 5531（竹島）を削除</t>
        </is>
      </c>
      <c r="C37" s="2" t="inlineStr">
        <is>
          <t>ADR-URD-009 の決定に基づく実装。params/mesh_list_japan.txt から 5531 を1行削除する。竹島（HL/GB-430）は韓国 SOTA サミットであり SOTA 日本支部の管轄外。除外根拠: docs/decisions/ADR-URD-009-takeshima-exclusion.md</t>
        </is>
      </c>
      <c r="D37" s="2" t="inlineStr"/>
      <c r="E37" s="4" t="inlineStr">
        <is>
          <t>中</t>
        </is>
      </c>
      <c r="F37" s="2" t="inlineStr"/>
      <c r="G37" s="2" t="inlineStr"/>
      <c r="H37" s="2" t="inlineStr">
        <is>
          <t>2026-05-17</t>
        </is>
      </c>
      <c r="I37" s="2" t="inlineStr">
        <is>
          <t>SRS</t>
        </is>
      </c>
      <c r="J37" s="2" t="inlineStr"/>
      <c r="K37" s="2" t="inlineStr">
        <is>
          <t>解決済</t>
        </is>
      </c>
      <c r="L37" s="2" t="inlineStr">
        <is>
          <t>Sonnet</t>
        </is>
      </c>
      <c r="M37" s="2" t="inlineStr">
        <is>
          <t>5531 を削除ではなくコメントアウト形式（# 5531 竹島のみのため除外（ADR-URD-009））で除外。理由と根拠が履歴として残る。main.c は # 始まり行をスキップ済みのため動作上の変更なし。</t>
        </is>
      </c>
      <c r="N37" s="2" t="inlineStr"/>
      <c r="O37" s="2" t="inlineStr">
        <is>
          <t>2026-05-23</t>
        </is>
      </c>
      <c r="P37" s="2" t="inlineStr">
        <is>
          <t>2026-05-23</t>
        </is>
      </c>
    </row>
    <row r="38" ht="40" customHeight="1">
      <c r="A38" s="6" t="inlineStr">
        <is>
          <t>ISSUE-037</t>
        </is>
      </c>
      <c r="B38" s="6" t="inlineStr">
        <is>
          <t>ADR-SRS-010 Phase 1: ビルド基盤 + elevation.c の C++/OpenCV 化（標高値同値性検証含む）</t>
        </is>
      </c>
      <c r="C38" s="6" t="inlineStr">
        <is>
          <t>ADR-SRS-010（C++/OpenCV 全面移行）の Phase 1 として、ビルド基盤の C++ 化と elevation.c の C++ + cv::imread 化を行う。
【作業範囲】
- Makefile を g++ + pkg-config（opencv4）対応に変更
- src/elevation.c を C++ に翻訳し、PNG デコードを libpng → cv::imread に置換
- RGB→標高変換ロジックは cv::Mat ベースで再実装
- Dockerfile / コンテナ環境に libopencv-dev インストール手順を追加
- docs/environment.md・CLAUDE.md の依存ライブラリ記述を更新
【検証ポイント】
- 既知タイル（例: tiles/15/29097/12863.png）を libpng と cv::imread でデコードした結果が完全一致すること（全 256×256 ピクセルの RGB 値）
- ランダムサンプル 100 枚で全ピクセル一致を確認
- test_mesh_analyze 4929 の結果が現行と同一であること
- 9 メッシュ実行でメモリ消費が ±10% 以内
【参照】
- ADR-SRS-010 docs/decisions/ADR-SRS-010-cpp-opencv-migration.md
- 検討資料 docs/decisions/research/cpp-opencv-migration-research.md（§3 同値性検証手順、§6 ビルド基盤変更）</t>
        </is>
      </c>
      <c r="D38" s="6" t="inlineStr">
        <is>
          <t>改善</t>
        </is>
      </c>
      <c r="E38" s="3" t="inlineStr">
        <is>
          <t>高</t>
        </is>
      </c>
      <c r="F38" s="6" t="inlineStr">
        <is>
          <t>解析エンジン</t>
        </is>
      </c>
      <c r="G38" s="6" t="inlineStr">
        <is>
          <t>JJ1XGO</t>
        </is>
      </c>
      <c r="H38" s="6" t="inlineStr">
        <is>
          <t>2026-05-17</t>
        </is>
      </c>
      <c r="I38" s="6" t="inlineStr">
        <is>
          <t>SRS</t>
        </is>
      </c>
      <c r="J38" s="6" t="inlineStr">
        <is>
          <t>LLD</t>
        </is>
      </c>
      <c r="K38" s="6" t="inlineStr">
        <is>
          <t>未対応</t>
        </is>
      </c>
      <c r="L38" s="6" t="inlineStr">
        <is>
          <t>Sonnet</t>
        </is>
      </c>
      <c r="M38" s="6" t="inlineStr"/>
      <c r="N38" s="6" t="inlineStr"/>
      <c r="O38" s="6" t="inlineStr"/>
      <c r="P38" s="6" t="inlineStr"/>
    </row>
    <row r="39" ht="40" customHeight="1">
      <c r="A39" s="7" t="inlineStr">
        <is>
          <t>ISSUE-038</t>
        </is>
      </c>
      <c r="B39" s="7" t="inlineStr">
        <is>
          <t>ADR-SRS-010 Phase 2: 残り src/ の C++ 翻訳（mesh / unionfind / analyze / mesh_analyze / main / tests）</t>
        </is>
      </c>
      <c r="C39" s="7" t="inlineStr">
        <is>
          <t>ADR-SRS-010 Phase 2: Phase 1 で C++ 化したビルド基盤の上に、残りの src/ を C++ に翻訳する。
【作業範囲】
- src/mesh.c → mesh.cpp
- src/unionfind.c → unionfind.cpp
- src/analyze.c → analyze.cpp
- src/mesh_analyze.c → mesh_analyze.cpp
- src/main.c → main.cpp
- tests/*.c → *.cpp
- malloc/realloc → std::vector への機械的置換主体
- 構造体は class 化せず原則そのまま維持
【方針】
- 過剰な C++ 機能（テンプレートメタプログラミング・複雑な継承等）は採用しない
- 採用するのは RAII / std::vector / std::string / 参照 / const 厳格化 / cv::Mat / auto（限定的）
- 既存の C コード構造を保持したまま安全性を底上げする翻訳に留める
【検証ポイント】
- 既存テスト（test_mesh_analyze / test_analyze）が全通過
- 既知メッシュ（4929 / 5339）の per-mesh CSV がバイト単位で現行実装と一致
- 標高地形図 PNG が現行実装と一致（Phase 3 まで cv::imread/imwrite で再生成しない場合）
【参照】
- ADR-SRS-010 docs/decisions/ADR-SRS-010-cpp-opencv-migration.md
- 検討資料 §4 C++ 利用方針と踏まない罠</t>
        </is>
      </c>
      <c r="D39" s="7" t="inlineStr">
        <is>
          <t>改善</t>
        </is>
      </c>
      <c r="E39" s="3" t="inlineStr">
        <is>
          <t>高</t>
        </is>
      </c>
      <c r="F39" s="7" t="inlineStr">
        <is>
          <t>解析エンジン</t>
        </is>
      </c>
      <c r="G39" s="7" t="inlineStr">
        <is>
          <t>JJ1XGO</t>
        </is>
      </c>
      <c r="H39" s="7" t="inlineStr">
        <is>
          <t>2026-05-17</t>
        </is>
      </c>
      <c r="I39" s="7" t="inlineStr">
        <is>
          <t>SRS</t>
        </is>
      </c>
      <c r="J39" s="7" t="inlineStr">
        <is>
          <t>LLD</t>
        </is>
      </c>
      <c r="K39" s="7" t="inlineStr">
        <is>
          <t>未対応</t>
        </is>
      </c>
      <c r="L39" s="7" t="inlineStr">
        <is>
          <t>Sonnet</t>
        </is>
      </c>
      <c r="M39" s="7" t="inlineStr"/>
      <c r="N39" s="7" t="inlineStr"/>
      <c r="O39" s="7" t="inlineStr"/>
      <c r="P39" s="7" t="inlineStr"/>
    </row>
    <row r="40" ht="40" customHeight="1">
      <c r="A40" s="6" t="inlineStr">
        <is>
          <t>ISSUE-039</t>
        </is>
      </c>
      <c r="B40" s="6" t="inlineStr">
        <is>
          <t>ADR-SRS-010 Phase 3: FR-015 標高地形図出力の OpenCV 化</t>
        </is>
      </c>
      <c r="C40" s="6" t="inlineStr">
        <is>
          <t>ADR-SRS-010 Phase 3: FR-015（標高地形図 PNG 出力）の実装を OpenCV ベースに書き直す。
【作業範囲】
- 標高値から RGB 色への変換を cv::applyColorMap or cv::LUT で実装
- 長辺 6000px への縮小を cv::resize に置換
- PNG 出力を cv::imwrite に置換
- 配色は現行のカラーマップを LUT 形式で再現（または同等の可読性を持つ標準カラーマップを採用）
【検証ポイント】
- 標高地形図 PNG が新カラーマップ実装で正常に生成される
- 視覚的な可読性が現行と同等以上であることを目視確認
- 長辺 6000px の縮小が正しく動作
【参照】
- ADR-SRS-010 docs/decisions/ADR-SRS-010-cpp-opencv-migration.md
- SRS 6.7 標高地形図（Terrain-RGB PNG）</t>
        </is>
      </c>
      <c r="D40" s="6" t="inlineStr">
        <is>
          <t>改善</t>
        </is>
      </c>
      <c r="E40" s="4" t="inlineStr">
        <is>
          <t>中</t>
        </is>
      </c>
      <c r="F40" s="6" t="inlineStr">
        <is>
          <t>解析エンジン</t>
        </is>
      </c>
      <c r="G40" s="6" t="inlineStr">
        <is>
          <t>JJ1XGO</t>
        </is>
      </c>
      <c r="H40" s="6" t="inlineStr">
        <is>
          <t>2026-05-17</t>
        </is>
      </c>
      <c r="I40" s="6" t="inlineStr">
        <is>
          <t>SRS</t>
        </is>
      </c>
      <c r="J40" s="6" t="inlineStr">
        <is>
          <t>LLD</t>
        </is>
      </c>
      <c r="K40" s="6" t="inlineStr">
        <is>
          <t>未対応</t>
        </is>
      </c>
      <c r="L40" s="6" t="inlineStr">
        <is>
          <t>Sonnet</t>
        </is>
      </c>
      <c r="M40" s="6" t="inlineStr"/>
      <c r="N40" s="6" t="inlineStr"/>
      <c r="O40" s="6" t="inlineStr"/>
      <c r="P40" s="6" t="inlineStr"/>
    </row>
    <row r="41" ht="40" customHeight="1">
      <c r="A41" s="7" t="inlineStr">
        <is>
          <t>ISSUE-040</t>
        </is>
      </c>
      <c r="B41" s="7" t="inlineStr">
        <is>
          <t>ADR-SRS-010 Phase 4: FR-016 アクティベーションゾーン計算（C++/OpenCV 新規実装）</t>
        </is>
      </c>
      <c r="C41" s="7" t="inlineStr">
        <is>
          <t>ADR-SRS-010 Phase 4: FR-016（ピーク域ポリゴン計算）を C++ + OpenCV で新規実装する。AZ ポリゴンと delete判定ゾーンポリゴン（ADR-SRS-011）の 2 種類を per-mesh GeoJSON に出力する。詳細は notes 欄参照。</t>
        </is>
      </c>
      <c r="D41" s="7" t="inlineStr">
        <is>
          <t>機能追加</t>
        </is>
      </c>
      <c r="E41" s="3" t="inlineStr">
        <is>
          <t>高</t>
        </is>
      </c>
      <c r="F41" s="7" t="inlineStr">
        <is>
          <t>解析エンジン</t>
        </is>
      </c>
      <c r="G41" s="7" t="inlineStr">
        <is>
          <t>JJ1XGO</t>
        </is>
      </c>
      <c r="H41" s="7" t="inlineStr">
        <is>
          <t>2026-05-17</t>
        </is>
      </c>
      <c r="I41" s="7" t="inlineStr">
        <is>
          <t>SRS</t>
        </is>
      </c>
      <c r="J41" s="7" t="inlineStr">
        <is>
          <t>LLD</t>
        </is>
      </c>
      <c r="K41" s="7" t="inlineStr">
        <is>
          <t>未対応</t>
        </is>
      </c>
      <c r="L41" s="7" t="inlineStr">
        <is>
          <t>Sonnet</t>
        </is>
      </c>
      <c r="M41" s="7" t="inlineStr"/>
      <c r="N41" s="7" t="inlineStr">
        <is>
          <t>【ADR-SRS-011 適用 2026-05-21】仕様を delete判定ゾーン方式に更新。
【作業範囲】
- ピーク位置を起点とした cv::floodFill で標高差 25m 以内の連続領域（AZ）を抽出
  - 4 連結 + FLOODFILL_FIXED_RANGE + FLOODFILL_MASK_ONLY を使用
- cv::findContours で外周輪郭を取得（CHAIN_APPROX_SIMPLE モードで lossless 出力）
- 形状を変える簡略化（Douglas-Peucker / approxPolyDP / 等間隔抽出）は使用しない
- ピクセル座標 → 緯度経度変換は既存の pixel_to_latlon() を再利用
- Flood Fill が解析対象メッシュ地理的範囲内で完結→ area_complete=true、範囲外で途切れ→ false
- 同じ Flood Fill を max(col_elev, peak_elev - delete_zone_max_drop) 閾値で再実行して delete判定ゾーンポリゴンを生成
  - key_col_resolved=false（col_elev 未確定）でも peak_elev - delete_zone_max_drop を閾値として生成可能
- per-mesh GeoJSON ファイル &lt;meshcode&gt;_activation.geojson を出力
  - feature_type: 'activation_zone' または 'delete_zone'
  - delete_zone_max_drop は params/config.ini から読み込み（値 250m、ADR-SRS-011 で実測確定）
【新規モジュール】
- src/activation.cpp / activation.h（Flood Fill 呼び出し + 輪郭抽出 + GeoJSON シリアライズ）
- mesh_analyze.cpp の CSV 出力ループ内から呼び出し
【検証ポイント】
- per-mesh &lt;meshcode&gt;_activation.geojson が生成される（AZ + delete判定ゾーンの2種類）
- 地理院地図上に重ねて目視確認（AZ は 25m 連続、delete判定ゾーンはプロミネンス連動 + 250m キャップ）
- area_complete フラグが解析範囲端のケースで正しく付与される
- 独立峰（プロミネンス &gt;&gt; 250m）でも delete判定ゾーンが 3×3 メッシュで完結する
- key_col_resolved=false のピークでも delete判定ゾーンが生成される
【参照】
- ADR-SRS-010 docs/decisions/ADR-SRS-010-cpp-opencv-migration.md
- ADR-SRS-011 docs/decisions/ADR-SRS-011-delete-zone-polygon.md（新仕様）
- SRS FR-016 docs/02_SRS.md
- SRS 6.8 中間ファイル: メッシュ別ピーク域 GeoJSON
【Opus相談推奨】OpenCV実装の細部設計・メモリ最適化・エッジケース整理に深い設計判断が必要。
相談ポイント:
(1) cv::floodFill のメモリ戦略: 全画像サイズのmask（H+2 × W+2、4GB）を全ピーク間で再利用 vs ピークごとにbbox限定でmaskを確保。9メッシュ56.9GB環境での最適解
(2) cv::Mat の参照カウント・shared_ptr 的挙動の正確な理解と、メモリリーク回避策
(3) area_complete 判定の正確な定義（'メッシュ地理範囲外' = フリンジ含むか含まないか、1px海面ボーダーの扱い）
(4) ピーク座標がメッシュ境界に近い場合の Flood Fill 挙動（隣接メッシュの標高データを参照すべきか）
(5) ピーク数百件 × 2 種類ポリゴン（AZ + delete判定ゾーン）の per-mesh GeoJSON 出力性能・ファイルサイズ実測値の事前見積
(6) cv::findContours の RETR_EXTERNAL モードと、複数 contour が返るケース（ピークが薄い橋でつながっている場合等）の扱い
(7) GeoJSON シリアライズ時の座標精度（小数点何桁）と、形状再現性への影響</t>
        </is>
      </c>
      <c r="O41" s="7" t="inlineStr"/>
      <c r="P41" s="7" t="inlineStr"/>
    </row>
    <row r="42" ht="40" customHeight="1">
      <c r="A42" s="2" t="inlineStr">
        <is>
          <t>ISSUE-041</t>
        </is>
      </c>
      <c r="B42" s="2" t="inlineStr">
        <is>
          <t>実装側のフラグ命名追従（is_tile_top → key_col_resolved + 真偽値反転）</t>
        </is>
      </c>
      <c r="C42" s="2" t="inlineStr">
        <is>
          <t>ISSUE-014 関連の仕様変更（commit 633e54b / ea6bbbe）で、SRS/ADR/GLOSSARY のフラグ名と真偽値方向を以下に統一した。実装側はまだ旧名のままなので、仕様と整合させる追従が必要。
【リネーム + 真偽値反転】
- is_tile_top (int 0/1) → key_col_resolved (bool true/false)
  - 旧 is_tile_top=1 → 新 key_col_resolved=false
  - 旧 is_tile_top=0 → 新 key_col_resolved=true
- FR-016 が未実装のため area_truncated は実装に未出現。新規実装時に area_complete で対応 → ISSUE-040 の責務
【追従対象】
A. C 実装（解析エンジン）
  - src/analyze.h: AnalyzeResult.is_tile_top フィールド改名 + 真偽値反転
  - src/analyze.c: フラグセット箇所
  - src/mesh_analyze.c: CSV ヘッダー文字列・出力フォーマット・条件分岐
  - tests/test_analyze.c: テストアサーション
B. Python 実装
  - scripts/merge.py: CSV 読み込みカラム名・stability 判定ロジック反転・重複排除ロジック・出力カラム
  - scripts/output_geojson.py: プロパティ名追従
【連携・順序】
- ADR-SRS-010 Phase 1/2 (ISSUE-037/038) で C → C++/OpenCV 移行が予定されている。C 側の改修は C++ 移行と同時に実施するのが効率的。Python 側は先行追従可能。
- ただし CSV カラム名は C 側と Python 側で揃える必要があるため、片方だけ変更すると一時的にパイプラインが壊れる。タイミング調整が必要。
- area_complete の実装は ISSUE-040 (FR-016 C++ 新規実装) のスコープ。新規実装時に最新 SRS に従えば良い。
【検証】
- findsummits 実行 → per-mesh CSV のヘッダーが key_col_resolved になっていること
- merge.py 実行 → merged.csv の stability が正しく付与されること（confirmed/unstable の判定方向が反転している）
- output_geojson.py 実行 → GeoJSON プロパティが新名で出力されること</t>
        </is>
      </c>
      <c r="D42" s="2" t="inlineStr">
        <is>
          <t>改善</t>
        </is>
      </c>
      <c r="E42" s="4" t="inlineStr">
        <is>
          <t>中</t>
        </is>
      </c>
      <c r="F42" s="2" t="inlineStr">
        <is>
          <t>その他</t>
        </is>
      </c>
      <c r="G42" s="2" t="inlineStr"/>
      <c r="H42" s="2" t="inlineStr">
        <is>
          <t>2026-05-19</t>
        </is>
      </c>
      <c r="I42" s="2" t="inlineStr">
        <is>
          <t>SRS</t>
        </is>
      </c>
      <c r="J42" s="2" t="inlineStr">
        <is>
          <t>COD</t>
        </is>
      </c>
      <c r="K42" s="2" t="inlineStr">
        <is>
          <t>却下</t>
        </is>
      </c>
      <c r="L42" s="2" t="inlineStr">
        <is>
          <t>Sonnet</t>
        </is>
      </c>
      <c r="M42" s="2" t="inlineStr"/>
      <c r="N42" s="2" t="inlineStr">
        <is>
          <t>【背景】commit 633e54b (is_tile_top → key_col_unresolved) + commit ea6bbbe (key_col_unresolved → key_col_resolved + area_truncated → area_complete) で仕様側を更新済み。実装側はまだ旧名のまま。仕様優先原則のため仕様変更が先行している。
【関連 ISSUE】
- ISSUE-014: 仕様変更の母 ISSUE（対応中）
- ISSUE-037 (ADR-SRS-010 Phase 1): elevation.c の C++/OpenCV 化
- ISSUE-038 (ADR-SRS-010 Phase 2): 残り src/ の C++ 翻訳
- ISSUE-040 (ADR-SRS-010 Phase 4): FR-016 (area_complete を含む) C++ 新規実装</t>
        </is>
      </c>
      <c r="O42" s="2" t="inlineStr"/>
      <c r="P42" s="2" t="inlineStr">
        <is>
          <t>2026-06-07</t>
        </is>
      </c>
    </row>
    <row r="43" ht="40" customHeight="1">
      <c r="A43" s="7" t="inlineStr">
        <is>
          <t>ISSUE-042</t>
        </is>
      </c>
      <c r="B43" s="7" t="inlineStr">
        <is>
          <t>メッシュ範囲指定引数の共通化（merge.py / findsummits / その他）</t>
        </is>
      </c>
      <c r="C43" s="7" t="inlineStr">
        <is>
          <t>現状、メッシュ範囲指定の引数仕様が機能ごとに異なる:
- findsummits: 1次メッシュコード または メッシュリストファイル
- merge.py: メッシュコードリスト（オプション。FR-008/FR-009/FR-010 で参照）
- prefetch_tiles.py: 別仕様
- run_all.sh: 別仕様
機能間で「メッシュ範囲を渡したり渡さなかったりする」状態。引数フォーマット・受け渡し方法を統一して、コマンドラインから一貫した形でメッシュ範囲を指定できるようにする。
関連: ISSUE-019（仮サミットコード採番タイミング）で「メッシュ範囲指定の有無に関わらず常に全件再採番」と統一した際の前提となるユーザー要望。</t>
        </is>
      </c>
      <c r="D43" s="7" t="inlineStr">
        <is>
          <t>改善</t>
        </is>
      </c>
      <c r="E43" s="4" t="inlineStr">
        <is>
          <t>中</t>
        </is>
      </c>
      <c r="F43" s="7" t="inlineStr">
        <is>
          <t>その他</t>
        </is>
      </c>
      <c r="G43" s="7" t="inlineStr">
        <is>
          <t>ユーザー</t>
        </is>
      </c>
      <c r="H43" s="7" t="inlineStr">
        <is>
          <t>2026-05-20</t>
        </is>
      </c>
      <c r="I43" s="7" t="inlineStr">
        <is>
          <t>SRS</t>
        </is>
      </c>
      <c r="J43" s="7" t="inlineStr">
        <is>
          <t>HLD</t>
        </is>
      </c>
      <c r="K43" s="7" t="inlineStr">
        <is>
          <t>未対応</t>
        </is>
      </c>
      <c r="L43" s="7" t="inlineStr"/>
      <c r="M43" s="7" t="inlineStr"/>
      <c r="N43" s="7" t="inlineStr">
        <is>
          <t>ISSUE-019 のクローズ時にユーザーから登録要望が出た案件。</t>
        </is>
      </c>
      <c r="O43" s="7" t="inlineStr"/>
      <c r="P43" s="7" t="inlineStr"/>
    </row>
    <row r="44" ht="40" customHeight="1">
      <c r="A44" s="6" t="inlineStr">
        <is>
          <t>ISSUE-043</t>
        </is>
      </c>
      <c r="B44" s="6" t="inlineStr">
        <is>
          <t>merge.py: delete判定ゾーン対応（AZ/delete-zone PIP、不備フラグ列、exit code、dominant 改名）</t>
        </is>
      </c>
      <c r="C44" s="6" t="inlineStr">
        <is>
          <t>ADR-SRS-011（delete判定ゾーンポリゴン）採用に伴う merge.py の改修。SRS FR-009 / ADR-URD-007 / ADR-SRS-008 / ADR-SRS-011 の仕様を実装に反映する。</t>
        </is>
      </c>
      <c r="D44" s="6" t="inlineStr">
        <is>
          <t>改善</t>
        </is>
      </c>
      <c r="E44" s="3" t="inlineStr">
        <is>
          <t>高</t>
        </is>
      </c>
      <c r="F44" s="6" t="inlineStr">
        <is>
          <t>merge.py</t>
        </is>
      </c>
      <c r="G44" s="6" t="inlineStr">
        <is>
          <t>JJ1XGO</t>
        </is>
      </c>
      <c r="H44" s="6" t="inlineStr">
        <is>
          <t>2026-05-21</t>
        </is>
      </c>
      <c r="I44" s="6" t="inlineStr">
        <is>
          <t>SRS</t>
        </is>
      </c>
      <c r="J44" s="6" t="inlineStr">
        <is>
          <t>LLD</t>
        </is>
      </c>
      <c r="K44" s="6" t="inlineStr">
        <is>
          <t>未対応</t>
        </is>
      </c>
      <c r="L44" s="6" t="inlineStr"/>
      <c r="M44" s="6" t="inlineStr"/>
      <c r="N44" s="6" t="inlineStr">
        <is>
          <t>【ADR-SRS-013 採用後のスコープ再評価が必要】merged.geojson が中心成果物となったため、merge.py が GeoJSON を直接出力するか・output_geojson.py との責務分担を本 SRS 改訂後に決定する。</t>
        </is>
      </c>
      <c r="O44" s="6" t="inlineStr"/>
      <c r="P44" s="6" t="inlineStr"/>
    </row>
    <row r="45" ht="40" customHeight="1">
      <c r="A45" s="7" t="inlineStr">
        <is>
          <t>ISSUE-044</t>
        </is>
      </c>
      <c r="B45" s="7" t="inlineStr">
        <is>
          <t>output_geojson.py: delete判定ゾーン対応 + merged_viewer.html 実装</t>
        </is>
      </c>
      <c r="C45" s="7" t="inlineStr">
        <is>
          <t>ADR-SRS-011 採用に伴う output_geojson.py の改修と、SRS FR-013 で要求済みだが未実装の merged_viewer.html 出力を追加する。</t>
        </is>
      </c>
      <c r="D45" s="7" t="inlineStr">
        <is>
          <t>機能追加</t>
        </is>
      </c>
      <c r="E45" s="3" t="inlineStr">
        <is>
          <t>高</t>
        </is>
      </c>
      <c r="F45" s="7" t="inlineStr">
        <is>
          <t>GeoJSON出力</t>
        </is>
      </c>
      <c r="G45" s="7" t="inlineStr">
        <is>
          <t>JJ1XGO</t>
        </is>
      </c>
      <c r="H45" s="7" t="inlineStr">
        <is>
          <t>2026-05-21</t>
        </is>
      </c>
      <c r="I45" s="7" t="inlineStr">
        <is>
          <t>SRS</t>
        </is>
      </c>
      <c r="J45" s="7" t="inlineStr">
        <is>
          <t>LLD</t>
        </is>
      </c>
      <c r="K45" s="7" t="inlineStr">
        <is>
          <t>未対応</t>
        </is>
      </c>
      <c r="L45" s="7" t="inlineStr"/>
      <c r="M45" s="7" t="inlineStr"/>
      <c r="N45" s="7" t="inlineStr">
        <is>
          <t>【ADR-SRS-013 採用後のスコープ再評価が必要】merged.geojson が中心成果物となったため、output_geojson.py の責務（merged.csv + merged_activation.geojson → merged.geojson 統合）が変わる可能性あり。merge.py との責務分担を SRS 改訂後に決定する。</t>
        </is>
      </c>
      <c r="O45" s="7" t="inlineStr"/>
      <c r="P45" s="7" t="inlineStr"/>
    </row>
    <row r="46" ht="40" customHeight="1">
      <c r="A46" s="2" t="inlineStr">
        <is>
          <t>ISSUE-045</t>
        </is>
      </c>
      <c r="B46" s="2" t="inlineStr">
        <is>
          <t>params/config.ini.example: delete_zone_max_drop = 250 パラメータ追加</t>
        </is>
      </c>
      <c r="C46" s="2" t="inlineStr">
        <is>
          <t>ADR-SRS-011 で確定した delete_zone_max_drop（実測値 250m）を config.ini.example に記載し、ユーザー環境への展開を可能にする。</t>
        </is>
      </c>
      <c r="D46" s="2" t="inlineStr">
        <is>
          <t>改善</t>
        </is>
      </c>
      <c r="E46" s="4" t="inlineStr">
        <is>
          <t>中</t>
        </is>
      </c>
      <c r="F46" s="2" t="inlineStr">
        <is>
          <t>設定</t>
        </is>
      </c>
      <c r="G46" s="2" t="inlineStr">
        <is>
          <t>JJ1XGO</t>
        </is>
      </c>
      <c r="H46" s="2" t="inlineStr">
        <is>
          <t>2026-05-21</t>
        </is>
      </c>
      <c r="I46" s="2" t="inlineStr">
        <is>
          <t>SRS</t>
        </is>
      </c>
      <c r="J46" s="2" t="inlineStr">
        <is>
          <t>COD</t>
        </is>
      </c>
      <c r="K46" s="2" t="inlineStr">
        <is>
          <t>却下</t>
        </is>
      </c>
      <c r="L46" s="2" t="inlineStr"/>
      <c r="M46" s="2" t="inlineStr"/>
      <c r="N46" s="2" t="inlineStr">
        <is>
          <t>【作業範囲】
- params/config.ini.example の [analysis] セクション（または相当箇所）に delete_zone_max_drop = 250 を追加
- 値の根拠コメントとして ADR-SRS-011 を参照
- 既存のローカル params/config.ini（gitignore）は手動で同期する旨をユーザーに通知
【参照】
- ADR docs/decisions/ADR-SRS-011-delete-zone-polygon.md
- SRS FR-016
【元 ISSUE】ISSUE-020 から分離</t>
        </is>
      </c>
      <c r="O46" s="2" t="inlineStr"/>
      <c r="P46" s="2" t="inlineStr">
        <is>
          <t>2026-06-07</t>
        </is>
      </c>
    </row>
    <row r="47" ht="40" customHeight="1">
      <c r="A47" s="2" t="inlineStr">
        <is>
          <t>ISSUE-046</t>
        </is>
      </c>
      <c r="B47" s="2" t="inlineStr">
        <is>
          <t>SRS: 変更申請判定を Points バンド遷移基準に変更（URD/SRS/GLOSSARY 改訂）</t>
        </is>
      </c>
      <c r="C47" s="2" t="inlineStr">
        <is>
          <t>SOTA 申請「変更」の定義を「山岳名の変更」から「matched ペアで Points バンドをまたぐ標高差があるケース（is_band_change_candidate=true）」に再定義。山岳名変更は申請対象外（ピーク解析と無関係）。URD UR-003・6.スコープ外、SRS FR-007/009/011/012/013・9.スコープ外、GLOSSARY（標高バンド表追加）、ref/SOURCES.md を改訂。ISSUE-025（標高バンド境界値の規定）を本タスクに統合。</t>
        </is>
      </c>
      <c r="D47" s="2" t="inlineStr">
        <is>
          <t>設計</t>
        </is>
      </c>
      <c r="E47" s="3" t="inlineStr">
        <is>
          <t>高</t>
        </is>
      </c>
      <c r="F47" s="2" t="inlineStr">
        <is>
          <t>その他</t>
        </is>
      </c>
      <c r="G47" s="2" t="inlineStr">
        <is>
          <t>JJ1XGO</t>
        </is>
      </c>
      <c r="H47" s="2" t="inlineStr">
        <is>
          <t>2026-05-22</t>
        </is>
      </c>
      <c r="I47" s="2" t="inlineStr">
        <is>
          <t>SRS</t>
        </is>
      </c>
      <c r="J47" s="2" t="inlineStr"/>
      <c r="K47" s="2" t="inlineStr">
        <is>
          <t>解決済</t>
        </is>
      </c>
      <c r="L47" s="2" t="inlineStr"/>
      <c r="M47" s="2" t="inlineStr"/>
      <c r="N47" s="2" t="inlineStr"/>
      <c r="O47" s="2" t="inlineStr">
        <is>
          <t>2026-05-22</t>
        </is>
      </c>
      <c r="P47" s="2" t="inlineStr">
        <is>
          <t>2026-05-22</t>
        </is>
      </c>
    </row>
    <row r="48" ht="40" customHeight="1">
      <c r="A48" s="2" t="inlineStr">
        <is>
          <t>ISSUE-047</t>
        </is>
      </c>
      <c r="B48" s="2" t="inlineStr">
        <is>
          <t>SRS フェーズ1機能関連図：FR-002/003 を FR-001 の箱から除去</t>
        </is>
      </c>
      <c r="C48" s="2" t="inlineStr">
        <is>
          <t>phase1.drawio で FR-002（DEM 階層フォールバック）と FR-003（標高デコード・NODATA 処理）を FR-001 の箱の中に描いていたが、両者はフェーズ2の処理と判断し SRS を修正済み。drawio 上の図もこれに合わせて修正する必要がある。</t>
        </is>
      </c>
      <c r="D48" s="2" t="inlineStr">
        <is>
          <t>改善</t>
        </is>
      </c>
      <c r="E48" s="4" t="inlineStr">
        <is>
          <t>中</t>
        </is>
      </c>
      <c r="F48" s="2" t="inlineStr">
        <is>
          <t>その他</t>
        </is>
      </c>
      <c r="G48" s="2" t="inlineStr"/>
      <c r="H48" s="2" t="inlineStr">
        <is>
          <t>2026-05-22</t>
        </is>
      </c>
      <c r="I48" s="2" t="inlineStr">
        <is>
          <t>SRS</t>
        </is>
      </c>
      <c r="J48" s="2" t="inlineStr"/>
      <c r="K48" s="2" t="inlineStr">
        <is>
          <t>解決済</t>
        </is>
      </c>
      <c r="L48" s="2" t="inlineStr"/>
      <c r="M48" s="2" t="inlineStr">
        <is>
          <t>drawio で FR-002/FR-003 のボックスを FR-001 の外に移動し、SVG を再エクスポートして docs/figures/ を更新する</t>
        </is>
      </c>
      <c r="N48" s="2" t="inlineStr"/>
      <c r="O48" s="2" t="inlineStr">
        <is>
          <t>2026-05-22</t>
        </is>
      </c>
      <c r="P48" s="2" t="inlineStr">
        <is>
          <t>2026-05-22</t>
        </is>
      </c>
    </row>
    <row r="49" ht="40" customHeight="1">
      <c r="A49" s="2" t="inlineStr">
        <is>
          <t>ISSUE-048</t>
        </is>
      </c>
      <c r="B49" s="2" t="inlineStr">
        <is>
          <t>SRS 3.1 システムコンテキスト図の新規作成</t>
        </is>
      </c>
      <c r="C49" s="2" t="inlineStr">
        <is>
          <t>SRS 3章「3.1 システムコンテキスト」にコンテキスト図（外部アクター・データソース・成果物の境界図）を追加する。現在はプレースホルダー注記のみ。外部要素: 国土地理院標高タイル / 国土交通省N03 / SOTA summitslist.csv / 申請担当者 / SOTA日本支部マネージャ。成果物: 申請書XLSX / エビデンスCSV / 証跡GeoJSON。</t>
        </is>
      </c>
      <c r="D49" s="2" t="inlineStr">
        <is>
          <t>機能追加</t>
        </is>
      </c>
      <c r="E49" s="4" t="inlineStr">
        <is>
          <t>中</t>
        </is>
      </c>
      <c r="F49" s="2" t="inlineStr">
        <is>
          <t>その他</t>
        </is>
      </c>
      <c r="G49" s="2" t="inlineStr"/>
      <c r="H49" s="2" t="inlineStr">
        <is>
          <t>2026-05-22</t>
        </is>
      </c>
      <c r="I49" s="2" t="inlineStr">
        <is>
          <t>SRS</t>
        </is>
      </c>
      <c r="J49" s="2" t="inlineStr"/>
      <c r="K49" s="2" t="inlineStr">
        <is>
          <t>解決済</t>
        </is>
      </c>
      <c r="L49" s="2" t="inlineStr"/>
      <c r="M49" s="2" t="inlineStr">
        <is>
          <t>drawio でコンテキスト図を作成し、docs/figures/context.drawio.svg として保存。SRS 3.1 のプレースホルダーを図参照に置き換えてコミット</t>
        </is>
      </c>
      <c r="N49" s="2" t="inlineStr"/>
      <c r="O49" s="2" t="inlineStr">
        <is>
          <t>2026-05-22</t>
        </is>
      </c>
      <c r="P49" s="2" t="inlineStr">
        <is>
          <t>2026-05-22</t>
        </is>
      </c>
    </row>
    <row r="50" ht="40" customHeight="1">
      <c r="A50" s="2" t="inlineStr">
        <is>
          <t>ISSUE-049</t>
        </is>
      </c>
      <c r="B50" s="2" t="inlineStr">
        <is>
          <t>SRS 3.3 フェーズ俯瞰図の新規作成</t>
        </is>
      </c>
      <c r="C50" s="2" t="inlineStr">
        <is>
          <t>SRS 3章「3.3 フェーズ分割の俯瞰」にフェーズ俯瞰図（フェーズ1〜4の関係性を示す図）を追加する。現在はプレースホルダー注記とテキストフローのみ。各フェーズの入出力ファイルと依存関係を視覚化する。</t>
        </is>
      </c>
      <c r="D50" s="2" t="inlineStr">
        <is>
          <t>機能追加</t>
        </is>
      </c>
      <c r="E50" s="5" t="inlineStr">
        <is>
          <t>低</t>
        </is>
      </c>
      <c r="F50" s="2" t="inlineStr">
        <is>
          <t>その他</t>
        </is>
      </c>
      <c r="G50" s="2" t="inlineStr"/>
      <c r="H50" s="2" t="inlineStr">
        <is>
          <t>2026-05-22</t>
        </is>
      </c>
      <c r="I50" s="2" t="inlineStr">
        <is>
          <t>SRS</t>
        </is>
      </c>
      <c r="J50" s="2" t="inlineStr"/>
      <c r="K50" s="2" t="inlineStr">
        <is>
          <t>解決済</t>
        </is>
      </c>
      <c r="L50" s="2" t="inlineStr"/>
      <c r="M50" s="2" t="inlineStr">
        <is>
          <t>drawio でフェーズ俯瞰図を作成し、docs/figures/phases_overview.drawio.svg として保存。SRS 3.3 のプレースホルダーを図参照に置き換えてコミット</t>
        </is>
      </c>
      <c r="N50" s="2" t="inlineStr"/>
      <c r="O50" s="2" t="inlineStr">
        <is>
          <t>2026-05-22</t>
        </is>
      </c>
      <c r="P50" s="2" t="inlineStr">
        <is>
          <t>2026-05-22</t>
        </is>
      </c>
    </row>
    <row r="51" ht="40" customHeight="1">
      <c r="A51" s="2" t="inlineStr">
        <is>
          <t>ISSUE-050</t>
        </is>
      </c>
      <c r="B51" s="2" t="inlineStr">
        <is>
          <t>SRS フェーズ2/3/3.5/4 機能関連図の新規作成</t>
        </is>
      </c>
      <c r="C51" s="2" t="inlineStr">
        <is>
          <t>SRS 4章の各フェーズ節冒頭に機能関連図を追加する。フェーズ2（ピーク解析: FR-002/003/004/005/006/007/015/016）、フェーズ3（ピーク統合: FR-008/018）、フェーズ3.5（独立峰対応: FR-014）、フェーズ4（突合・出力: FR-009/010/011/012/013）の各図。フェーズ1機能関連図（phase1.drawio.svg）を参考に作成する。</t>
        </is>
      </c>
      <c r="D51" s="2" t="inlineStr">
        <is>
          <t>機能追加</t>
        </is>
      </c>
      <c r="E51" s="5" t="inlineStr">
        <is>
          <t>低</t>
        </is>
      </c>
      <c r="F51" s="2" t="inlineStr">
        <is>
          <t>その他</t>
        </is>
      </c>
      <c r="G51" s="2" t="inlineStr">
        <is>
          <t>Claude</t>
        </is>
      </c>
      <c r="H51" s="2" t="inlineStr">
        <is>
          <t>2026-05-22</t>
        </is>
      </c>
      <c r="I51" s="2" t="inlineStr">
        <is>
          <t>SRS</t>
        </is>
      </c>
      <c r="J51" s="2" t="inlineStr"/>
      <c r="K51" s="2" t="inlineStr">
        <is>
          <t>解決済</t>
        </is>
      </c>
      <c r="L51" s="2" t="inlineStr">
        <is>
          <t>JJ1XGO</t>
        </is>
      </c>
      <c r="M51" s="2" t="inlineStr">
        <is>
          <t>drawio で各フェーズの機能関連図を作成し、docs/figures/phase2.drawio.svg 等として保存。SRS の各フェーズ節冒頭に図参照を追加してコミット</t>
        </is>
      </c>
      <c r="N51" s="2" t="inlineStr">
        <is>
          <t>【本日の決定事項】フェーズ別機能関連図（phase2〜4）の個別作成は中止し、phases_overview.drawio.svg（フェーズ俯瞰図）で代替する方針を確定。フェーズ1の機能関連図（phase1.drawio.svg）もSRSの参照削除済み（commit 12e2a45）のうえファイル削除。俯瞰図はフェーズ3出力ラベルをmerged_activation.geojsonに修正（SRS FR-018と整合）し、誤字「見つらない→見つからない」も修正してcommit ca09554でコミット済み。</t>
        </is>
      </c>
      <c r="O51" s="2" t="inlineStr">
        <is>
          <t>2026-05-23</t>
        </is>
      </c>
      <c r="P51" s="2" t="inlineStr">
        <is>
          <t>2026-05-23</t>
        </is>
      </c>
    </row>
    <row r="52" ht="40" customHeight="1">
      <c r="A52" s="6" t="inlineStr">
        <is>
          <t>ISSUE-051</t>
        </is>
      </c>
      <c r="B52" s="6" t="inlineStr">
        <is>
          <t>SRS フェーズ3（FR-014）: area_complete=false トリガー外しの重複記述整理</t>
        </is>
      </c>
      <c r="C52" s="6" t="inlineStr">
        <is>
          <t>SRS フェーズ3.5 セクション冒頭と FR-014 トリガー条件で area_complete=false トリガー対象外の説明が2箇所に重複している。整理して片方に集約することで保守性を上げる。対象: L327-330 周辺と L336-338 周辺。</t>
        </is>
      </c>
      <c r="D52" s="6" t="inlineStr">
        <is>
          <t>改善</t>
        </is>
      </c>
      <c r="E52" s="5" t="inlineStr">
        <is>
          <t>低</t>
        </is>
      </c>
      <c r="F52" s="6" t="inlineStr"/>
      <c r="G52" s="6" t="inlineStr"/>
      <c r="H52" s="6" t="inlineStr">
        <is>
          <t>2026-05-23</t>
        </is>
      </c>
      <c r="I52" s="6" t="inlineStr">
        <is>
          <t>SRS</t>
        </is>
      </c>
      <c r="J52" s="6" t="inlineStr">
        <is>
          <t>SRS</t>
        </is>
      </c>
      <c r="K52" s="6" t="inlineStr">
        <is>
          <t>未対応</t>
        </is>
      </c>
      <c r="L52" s="6" t="inlineStr"/>
      <c r="M52" s="6" t="inlineStr"/>
      <c r="N52" s="6" t="inlineStr"/>
      <c r="O52" s="6" t="inlineStr"/>
      <c r="P52" s="6" t="inlineStr"/>
    </row>
    <row r="53" ht="40" customHeight="1">
      <c r="A53" s="7" t="inlineStr">
        <is>
          <t>ISSUE-052</t>
        </is>
      </c>
      <c r="B53" s="7" t="inlineStr">
        <is>
          <t>SRS FR-014: key_col_resolved=false と独立峰の対応関係を明示</t>
        </is>
      </c>
      <c r="C53" s="7" t="inlineStr">
        <is>
          <t>SRS FR-014 のトリガー条件周辺（L335-336 周辺）に「key_col_resolved=false = Key コルが 3×3 解析範囲外にある独立峰」という対応関係を注記として追加する。読者がコンテキストなしでトリガー条件の意味を理解できるようにする。</t>
        </is>
      </c>
      <c r="D53" s="7" t="inlineStr">
        <is>
          <t>改善</t>
        </is>
      </c>
      <c r="E53" s="5" t="inlineStr">
        <is>
          <t>低</t>
        </is>
      </c>
      <c r="F53" s="7" t="inlineStr"/>
      <c r="G53" s="7" t="inlineStr"/>
      <c r="H53" s="7" t="inlineStr">
        <is>
          <t>2026-05-23</t>
        </is>
      </c>
      <c r="I53" s="7" t="inlineStr">
        <is>
          <t>SRS</t>
        </is>
      </c>
      <c r="J53" s="7" t="inlineStr">
        <is>
          <t>SRS</t>
        </is>
      </c>
      <c r="K53" s="7" t="inlineStr">
        <is>
          <t>未対応</t>
        </is>
      </c>
      <c r="L53" s="7" t="inlineStr"/>
      <c r="M53" s="7" t="inlineStr"/>
      <c r="N53" s="7" t="inlineStr"/>
      <c r="O53" s="7" t="inlineStr"/>
      <c r="P53" s="7" t="inlineStr"/>
    </row>
    <row r="54" ht="40" customHeight="1">
      <c r="A54" s="2" t="inlineStr">
        <is>
          <t>ISSUE-053</t>
        </is>
      </c>
      <c r="B54" s="2" t="inlineStr">
        <is>
          <t>docs/figures/context.drawio: ラベル大文字統一（xlsx→XLSX、csv→CSV）</t>
        </is>
      </c>
      <c r="C54" s="2" t="inlineStr">
        <is>
          <t>context.drawio 内のラベル表記ゆらぎを修正。「申請書 xlsx」→「申請書 XLSX」、「エビデンス csv」→「エビデンス CSV」に統一する。SVG エクスポートはユーザーが draw.io で対応。</t>
        </is>
      </c>
      <c r="D54" s="2" t="inlineStr">
        <is>
          <t>改善</t>
        </is>
      </c>
      <c r="E54" s="5" t="inlineStr">
        <is>
          <t>低</t>
        </is>
      </c>
      <c r="F54" s="2" t="inlineStr"/>
      <c r="G54" s="2" t="inlineStr"/>
      <c r="H54" s="2" t="inlineStr">
        <is>
          <t>2026-05-23</t>
        </is>
      </c>
      <c r="I54" s="2" t="inlineStr">
        <is>
          <t>SRS</t>
        </is>
      </c>
      <c r="J54" s="2" t="inlineStr">
        <is>
          <t>SRS</t>
        </is>
      </c>
      <c r="K54" s="2" t="inlineStr">
        <is>
          <t>却下</t>
        </is>
      </c>
      <c r="L54" s="2" t="inlineStr"/>
      <c r="M54" s="2" t="inlineStr"/>
      <c r="N54" s="2" t="inlineStr"/>
      <c r="O54" s="2" t="inlineStr"/>
      <c r="P54" s="2" t="inlineStr">
        <is>
          <t>2026-06-07</t>
        </is>
      </c>
    </row>
    <row r="55" ht="40" customHeight="1">
      <c r="A55" s="2" t="inlineStr">
        <is>
          <t>ISSUE-054</t>
        </is>
      </c>
      <c r="B55" s="2" t="inlineStr">
        <is>
          <t>モックアップ: 陸地最高峰ピークの専用表示追加</t>
        </is>
      </c>
      <c r="C55" s="2" t="inlineStr">
        <is>
          <t>viewer_mockup.html の対象ピーク表示において、key_col_resolved=false（広域再解析でも親ピークが見つからないピーク）に対して「陸地最高峰」（島嶼部の場合は「島嶼部最高峰」）であることが視認できる表示を追加する。
## 背景
- ADR-SRS-008 / ADR-SRS-011 で「陸地最高峰」「島嶼部最高峰」が key_col_resolved=false のケースとして定義済み
- このようなピークはプロミネンス = 標高となり、Key コルが定義されない特殊ケース
- 申請レビュー時に「なぜ Key コルが空なのか」が一目でわかる必要がある
## 想定する表示案（実装時に再検討）
- 対象ピークのポップアップ内に「陸地最高峰」バッジを表示
- Key コル情報欄を「— 陸地最高峰のため未定義」のような注記に置き換える
## 注意
- 用語「陸地最高峰」「島嶼部最高峰」は現状 ADR にのみ登場。GLOSSARY や URD/SRS への正式取り込みが先に必要かは別途判断
- モックアップ改修タイミングでまとめて対応するのが望ましい</t>
        </is>
      </c>
      <c r="D55" s="2" t="inlineStr">
        <is>
          <t>改善</t>
        </is>
      </c>
      <c r="E55" s="5" t="inlineStr">
        <is>
          <t>低</t>
        </is>
      </c>
      <c r="F55" s="2" t="inlineStr"/>
      <c r="G55" s="2" t="inlineStr"/>
      <c r="H55" s="2" t="inlineStr">
        <is>
          <t>2026-05-24</t>
        </is>
      </c>
      <c r="I55" s="2" t="inlineStr"/>
      <c r="J55" s="2" t="inlineStr"/>
      <c r="K55" s="2" t="inlineStr">
        <is>
          <t>解決済</t>
        </is>
      </c>
      <c r="L55" s="2" t="inlineStr"/>
      <c r="M55" s="2" t="inlineStr"/>
      <c r="N55" s="2" t="inlineStr"/>
      <c r="O55" s="2" t="inlineStr">
        <is>
          <t>2026-05-24</t>
        </is>
      </c>
      <c r="P55" s="2" t="inlineStr">
        <is>
          <t>2026-05-24</t>
        </is>
      </c>
    </row>
    <row r="56" ht="40" customHeight="1">
      <c r="A56" s="2" t="inlineStr">
        <is>
          <t>ISSUE-055</t>
        </is>
      </c>
      <c r="B56" s="2" t="inlineStr">
        <is>
          <t>SRS: GeoJSONビューア（HTMLビュー）のUI要件追加</t>
        </is>
      </c>
      <c r="C56" s="2" t="inlineStr"/>
      <c r="D56" s="2" t="inlineStr">
        <is>
          <t>機能追加</t>
        </is>
      </c>
      <c r="E56" s="4" t="inlineStr">
        <is>
          <t>中</t>
        </is>
      </c>
      <c r="F56" s="2" t="inlineStr"/>
      <c r="G56" s="2" t="inlineStr"/>
      <c r="H56" s="2" t="inlineStr">
        <is>
          <t>2026-05-24</t>
        </is>
      </c>
      <c r="I56" s="2" t="inlineStr">
        <is>
          <t>SRS</t>
        </is>
      </c>
      <c r="J56" s="2" t="inlineStr"/>
      <c r="K56" s="2" t="inlineStr">
        <is>
          <t>解決済</t>
        </is>
      </c>
      <c r="L56" s="2" t="inlineStr"/>
      <c r="M56" s="2" t="inlineStr"/>
      <c r="N56" s="2" t="inlineStr">
        <is>
          <t>HTMLビューアはユーザーI/Fの1つ（外部I/F）であり、SRSに以下を記載する必要がある。
- match_status別の視覚的区別表示要件
- key_col_resolved=falseピークの陸地最高峰/島嶼部最高峰特別表示
- ポップアップ表示項目と編集可否（山岳名は新規のみ入力可など）
- 変更の根拠フィールドの入力要件・初期値テンプレート（※2/※4/※5）
- エクスポート機能の存在と出力内容
実装手段（Leaflet・HTML単体・localStorage等）はHLDに記載する。</t>
        </is>
      </c>
      <c r="O56" s="2" t="inlineStr">
        <is>
          <t>2026-05-28</t>
        </is>
      </c>
      <c r="P56" s="2" t="inlineStr">
        <is>
          <t>2026-05-28</t>
        </is>
      </c>
    </row>
    <row r="57" ht="40" customHeight="1">
      <c r="A57" s="2" t="inlineStr">
        <is>
          <t>ISSUE-056</t>
        </is>
      </c>
      <c r="B57" s="2" t="inlineStr">
        <is>
          <t>prefetch_tiles.py: FR-001 仕様追従（全種別独立取得・404時ローカルキャッシュ削除）</t>
        </is>
      </c>
      <c r="C57" s="2" t="inlineStr">
        <is>
          <t>SRS FR-001 改訂（2026-05-25）に合わせて prefetch_tiles.py の実装を修正する。
【修正内容】
1. fetch_dem5_with_fallback() の早期 break を撤廃し、dem5a/b/c を独立ジョブとして列挙・取得する（種別間の条件分岐なし）
2. enumerate_jobs() で dem5b/dem5c も常に列挙対象に含める
3. fetch_one() で HTTP 404 受信時に同パスのローカルキャッシュが存在すれば os.unlink(path) で削除し、地理院側と同じ状態に保つ
【背景】
旧実装は dem5a 取得成功で break する「タイル単位フォールバック取得」になっており、FR-002 のピクセル単位フォールバックが機能するための前提（全種別のタイルがローカルに揃っていること）を満たしていなかった。また 404 受信時にローカルキャッシュを残すと地理院側で削除されたタイルがローカルに残り続ける問題があった。
【対象ファイル】
- scripts/prefetch_tiles.py
  - fetch_dem5_with_fallback() (185-199行付近): early break 撤廃
  - enumerate_jobs() : dem5b/dem5c を列挙対象に追加
  - fetch_one() (131-180行付近): 404時の os.unlink 追加</t>
        </is>
      </c>
      <c r="D57" s="2" t="inlineStr">
        <is>
          <t>改善</t>
        </is>
      </c>
      <c r="E57" s="3" t="inlineStr">
        <is>
          <t>高</t>
        </is>
      </c>
      <c r="F57" s="2" t="inlineStr"/>
      <c r="G57" s="2" t="inlineStr"/>
      <c r="H57" s="2" t="inlineStr">
        <is>
          <t>2026-05-25</t>
        </is>
      </c>
      <c r="I57" s="2" t="inlineStr">
        <is>
          <t>COD</t>
        </is>
      </c>
      <c r="J57" s="2" t="inlineStr"/>
      <c r="K57" s="2" t="inlineStr">
        <is>
          <t>却下</t>
        </is>
      </c>
      <c r="L57" s="2" t="inlineStr"/>
      <c r="M57" s="2" t="inlineStr"/>
      <c r="N57" s="2" t="inlineStr">
        <is>
          <t>【ADR-SRS-018 反映】北方領土除外タイルリストの読み込みと取得スキップ処理が追加変更点として加わった。enumerate_jobs() または fetch() の段階で、北方領土除外タイルリスト（テキスト: x y ペア）を読み込み、リスト内のタイルはジョブに含めない（HTTP リクエストを発行しない）。既存ローカルキャッシュが存在する場合は削除して地理院側と同じ状態に保つこと（取得しない = リストに入れないのと同義）。</t>
        </is>
      </c>
      <c r="O57" s="2" t="inlineStr"/>
      <c r="P57" s="2" t="inlineStr">
        <is>
          <t>2026-06-07</t>
        </is>
      </c>
    </row>
    <row r="58" ht="40" customHeight="1">
      <c r="A58" s="2" t="inlineStr">
        <is>
          <t>ISSUE-057</t>
        </is>
      </c>
      <c r="B58" s="2" t="inlineStr">
        <is>
          <t>SRS 機能要件セクション: 各 FR を統一フォーマット（対応UR/概要/入力/出力/詳細）に整理</t>
        </is>
      </c>
      <c r="C58" s="2" t="inlineStr">
        <is>
          <t>現状の docs/02_SRS.md 機能要件セクション（FR-001〜FR-018 計20件）は項目順序と見出し付けがバラバラで読みづらい。全 FR を 対応UR → 概要 → 入力 → 出力 → 詳細 の順に統一する。形式は - **ラベル**: の bullet 形式に揃え、入出力欄は全 FR で必ず埋める。詳細は mgmt/plan.md を参照。</t>
        </is>
      </c>
      <c r="D58" s="2" t="inlineStr">
        <is>
          <t>改善</t>
        </is>
      </c>
      <c r="E58" s="4" t="inlineStr">
        <is>
          <t>中</t>
        </is>
      </c>
      <c r="F58" s="2" t="inlineStr">
        <is>
          <t>その他</t>
        </is>
      </c>
      <c r="G58" s="2" t="inlineStr"/>
      <c r="H58" s="2" t="inlineStr">
        <is>
          <t>2026-05-29</t>
        </is>
      </c>
      <c r="I58" s="2" t="inlineStr">
        <is>
          <t>SRS</t>
        </is>
      </c>
      <c r="J58" s="2" t="inlineStr">
        <is>
          <t>SRS</t>
        </is>
      </c>
      <c r="K58" s="2" t="inlineStr">
        <is>
          <t>解決済</t>
        </is>
      </c>
      <c r="L58" s="2" t="inlineStr"/>
      <c r="M58" s="2" t="inlineStr"/>
      <c r="N58" s="2" t="inlineStr">
        <is>
          <t>形式・入出力欄の扱いはユーザーと事前合意済み（plan.md 参照）。20 FR 各々の概要・入力・出力は plan.md の表で確定済み。</t>
        </is>
      </c>
      <c r="O58" s="2" t="inlineStr">
        <is>
          <t>2026-05-29</t>
        </is>
      </c>
      <c r="P58" s="2" t="inlineStr">
        <is>
          <t>2026-05-29</t>
        </is>
      </c>
    </row>
    <row r="59" ht="40" customHeight="1">
      <c r="A59" s="2" t="inlineStr">
        <is>
          <t>ISSUE-058</t>
        </is>
      </c>
      <c r="B59" s="2" t="inlineStr">
        <is>
          <t>SRS: ステップ廃止・フェーズ5新設・FR-013分割・FR-019/020追加</t>
        </is>
      </c>
      <c r="C59" s="2" t="inlineStr"/>
      <c r="D59" s="2" t="inlineStr">
        <is>
          <t>改善</t>
        </is>
      </c>
      <c r="E59" s="3" t="inlineStr">
        <is>
          <t>高</t>
        </is>
      </c>
      <c r="F59" s="2" t="inlineStr"/>
      <c r="G59" s="2" t="inlineStr"/>
      <c r="H59" s="2" t="inlineStr">
        <is>
          <t>2026-05-29</t>
        </is>
      </c>
      <c r="I59" s="2" t="inlineStr">
        <is>
          <t>SRS</t>
        </is>
      </c>
      <c r="J59" s="2" t="inlineStr"/>
      <c r="K59" s="2" t="inlineStr">
        <is>
          <t>解決済</t>
        </is>
      </c>
      <c r="L59" s="2" t="inlineStr"/>
      <c r="M59" s="2" t="inlineStr"/>
      <c r="N59" s="2" t="inlineStr">
        <is>
          <t>ステップ層撤廃・フェーズ3.5内包・FR-013をビューア生成仕様(残置)とビューア機能仕様(FR-019新規)に分割・フェーズ5:申請書生成新設(FR-019/011/012/020)・公開用HTML生成FR-020新規追加。詳細: mgmt/plan.md</t>
        </is>
      </c>
      <c r="O59" s="2" t="inlineStr">
        <is>
          <t>2026-05-29</t>
        </is>
      </c>
      <c r="P59" s="2" t="inlineStr">
        <is>
          <t>2026-05-29</t>
        </is>
      </c>
    </row>
    <row r="60" ht="40" customHeight="1">
      <c r="A60" s="2" t="inlineStr">
        <is>
          <t>ISSUE-059</t>
        </is>
      </c>
      <c r="B60" s="2" t="inlineStr">
        <is>
          <t>実装側ファイル名追従: merged_peak.csv / merged_summit.xlsx リネーム</t>
        </is>
      </c>
      <c r="C60" s="2" t="inlineStr">
        <is>
          <t>SRS 改訂（merged.csv 命名整理）に伴う実装追従。scripts/merge.py:50 の DEFAULT_OUTPUT を merged_peak.csv に変更、scripts/output_geojson.py:34 の DEFAULT_INPUT を merged_peak.csv に変更。FR-009 から merged_summit.csv 出力ロジックを新規追加（カラム構成は FR-012 と同じ）。</t>
        </is>
      </c>
      <c r="D60" s="2" t="inlineStr">
        <is>
          <t>改善</t>
        </is>
      </c>
      <c r="E60" s="3" t="inlineStr">
        <is>
          <t>高</t>
        </is>
      </c>
      <c r="F60" s="2" t="inlineStr">
        <is>
          <t>merge.py</t>
        </is>
      </c>
      <c r="G60" s="2" t="inlineStr"/>
      <c r="H60" s="2" t="inlineStr">
        <is>
          <t>2026-05-29</t>
        </is>
      </c>
      <c r="I60" s="2" t="inlineStr">
        <is>
          <t>COD</t>
        </is>
      </c>
      <c r="J60" s="2" t="inlineStr"/>
      <c r="K60" s="2" t="inlineStr">
        <is>
          <t>却下</t>
        </is>
      </c>
      <c r="L60" s="2" t="inlineStr"/>
      <c r="M60" s="2" t="inlineStr">
        <is>
          <t>merge.py の DEFAULT_OUTPUT 変更 + output_geojson.py の DEFAULT_INPUT 変更 + output_geojson.py に merged_summit.csv 出力処理追加</t>
        </is>
      </c>
      <c r="N60" s="2" t="inlineStr">
        <is>
          <t>SRS 改訂（2026-05-29: xlsx 化）に伴い追加スコープ: merged_summit.csv → merged_summit.xlsx（scripts/merge.py の出力変更）、output_geojson.py の DEFAULT_INPUT を merged_peak.csv に変更。FR-012 実装（merged_summit_revised.xlsx 生成）は ISSUE-062 として分離起票のため本 ISSUE のスコープには含めない。</t>
        </is>
      </c>
      <c r="O60" s="2" t="inlineStr"/>
      <c r="P60" s="2" t="inlineStr">
        <is>
          <t>2026-06-07</t>
        </is>
      </c>
    </row>
    <row r="61" ht="40" customHeight="1">
      <c r="A61" s="2" t="inlineStr">
        <is>
          <t>ISSUE-060</t>
        </is>
      </c>
      <c r="B61" s="2" t="inlineStr">
        <is>
          <t>CLAUDE.md / README.md の merged.csv 言及箇所を新命名に更新</t>
        </is>
      </c>
      <c r="C61" s="2" t="inlineStr">
        <is>
          <t>SRS 改訂（merged.csv 命名整理）に伴うドキュメント追従。CLAUDE.md L63 他 merged.csv を参照しているドキュメント箇所を merged_peak.csv / merged_summit.csv に更新する。</t>
        </is>
      </c>
      <c r="D61" s="2" t="inlineStr">
        <is>
          <t>改善</t>
        </is>
      </c>
      <c r="E61" s="5" t="inlineStr">
        <is>
          <t>低</t>
        </is>
      </c>
      <c r="F61" s="2" t="inlineStr">
        <is>
          <t>その他</t>
        </is>
      </c>
      <c r="G61" s="2" t="inlineStr"/>
      <c r="H61" s="2" t="inlineStr">
        <is>
          <t>2026-05-29</t>
        </is>
      </c>
      <c r="I61" s="2" t="inlineStr">
        <is>
          <t>COD</t>
        </is>
      </c>
      <c r="J61" s="2" t="inlineStr"/>
      <c r="K61" s="2" t="inlineStr">
        <is>
          <t>却下</t>
        </is>
      </c>
      <c r="L61" s="2" t="inlineStr"/>
      <c r="M61" s="2" t="inlineStr">
        <is>
          <t>CLAUDE.md・README.md 内の merged.csv 参照を検索し新命名に置換</t>
        </is>
      </c>
      <c r="N61" s="2" t="inlineStr">
        <is>
          <t>merged.csv 命名整理に加えて、2026-05-29 の xlsx 化により merged_summit.xlsx の言及も追加対象。CLAUDE.md L63 他を更新。</t>
        </is>
      </c>
      <c r="O61" s="2" t="inlineStr"/>
      <c r="P61" s="2" t="inlineStr">
        <is>
          <t>2026-06-07</t>
        </is>
      </c>
    </row>
    <row r="62" ht="40" customHeight="1">
      <c r="A62" s="2" t="inlineStr">
        <is>
          <t>ISSUE-061</t>
        </is>
      </c>
      <c r="B62" s="2" t="inlineStr">
        <is>
          <t>SRS merged.csv 命名整理（merged_peak.csv / merged_summit.csv 導入）</t>
        </is>
      </c>
      <c r="C62" s="2" t="inlineStr">
        <is>
          <t>SRS 内で merged.csv というファイル名が FR-008（内部 work CSV）と FR-012（派生エビデンス CSV）で重複していた問題を解消。FR-008 出力を merged_peak.csv にリネーム、FR-009 出力に merged_summit.csv（サミット一覧 CSV・ピーク→サミット概念切り替わり点の確認用）を新規追加。FR-012 出力名は未定のため TBD マーカー化（フェーズ5 レビュー時に確定）。</t>
        </is>
      </c>
      <c r="D62" s="2" t="inlineStr">
        <is>
          <t>改善</t>
        </is>
      </c>
      <c r="E62" s="3" t="inlineStr">
        <is>
          <t>高</t>
        </is>
      </c>
      <c r="F62" s="2" t="inlineStr">
        <is>
          <t>merge.py</t>
        </is>
      </c>
      <c r="G62" s="2" t="inlineStr"/>
      <c r="H62" s="2" t="inlineStr">
        <is>
          <t>2026-05-29</t>
        </is>
      </c>
      <c r="I62" s="2" t="inlineStr">
        <is>
          <t>SRS</t>
        </is>
      </c>
      <c r="J62" s="2" t="inlineStr"/>
      <c r="K62" s="2" t="inlineStr">
        <is>
          <t>解決済</t>
        </is>
      </c>
      <c r="L62" s="2" t="inlineStr"/>
      <c r="M62" s="2" t="inlineStr">
        <is>
          <t>docs/02_SRS.md を改訂。§3.3 俯瞰図・FR-008/FR-009/FR-014/FR-012 出力欄・§6 成果物一覧をすべて新命名に更新</t>
        </is>
      </c>
      <c r="N62" s="2" t="inlineStr"/>
      <c r="O62" s="2" t="inlineStr">
        <is>
          <t>2026-05-29</t>
        </is>
      </c>
      <c r="P62" s="2" t="inlineStr">
        <is>
          <t>2026-05-29</t>
        </is>
      </c>
    </row>
    <row r="63" ht="40" customHeight="1">
      <c r="A63" s="7" t="inlineStr">
        <is>
          <t>ISSUE-062</t>
        </is>
      </c>
      <c r="B63" s="7" t="inlineStr">
        <is>
          <t>FR-012 実装: merged_summit_revised.xlsx 生成スクリプト新規開発</t>
        </is>
      </c>
      <c r="C63" s="7" t="inlineStr">
        <is>
          <t>SRS FR-012（サミット一覧（申請内容反映版）生成）の実装。merged.geojson の Point フィーチャから FR-019 でのユーザー編集内容を反映した merged_summit_revised.xlsx を生成するスクリプトを新規開発する。HTML ビューアの「エクスポート」ボタン（FR-019 経由）との連携も必要。</t>
        </is>
      </c>
      <c r="D63" s="7" t="inlineStr">
        <is>
          <t>機能追加</t>
        </is>
      </c>
      <c r="E63" s="3" t="inlineStr">
        <is>
          <t>高</t>
        </is>
      </c>
      <c r="F63" s="7" t="inlineStr">
        <is>
          <t>GeoJSON出力</t>
        </is>
      </c>
      <c r="G63" s="7" t="inlineStr"/>
      <c r="H63" s="7" t="inlineStr">
        <is>
          <t>2026-05-29</t>
        </is>
      </c>
      <c r="I63" s="7" t="inlineStr">
        <is>
          <t>SRS</t>
        </is>
      </c>
      <c r="J63" s="7" t="inlineStr">
        <is>
          <t>HLD</t>
        </is>
      </c>
      <c r="K63" s="7" t="inlineStr">
        <is>
          <t>未対応</t>
        </is>
      </c>
      <c r="L63" s="7" t="inlineStr"/>
      <c r="M63" s="7" t="inlineStr">
        <is>
          <t>新規スクリプト scripts/export_summit_revised.py 等を作成し、merged.geojson + HTML ビューア編集内容を入力として merged_summit_revised.xlsx を出力するロジックを実装。FR-013 HTML ビューア改修（エクスポートトリガー連携）も別途必要。</t>
        </is>
      </c>
      <c r="N63" s="7" t="inlineStr">
        <is>
          <t>【スコープ更新（2026-05-31）】FR-012 はブラウザ内（HTML ビューア）で生成する方針に確定（SRS 修正済み・FR-012 出力先を /results/ からブラウザダウンロードに変更）。生成した merged_summit_revised.xlsx は申請エビデンス ZIP（FR-021）に同梱。Python バッチでの生成は行わない。FR-021 の実装（ISSUE-063）と統合して対応する。</t>
        </is>
      </c>
      <c r="O63" s="7" t="inlineStr"/>
      <c r="P63" s="7" t="inlineStr"/>
    </row>
    <row r="64" ht="40" customHeight="1">
      <c r="A64" s="6" t="inlineStr">
        <is>
          <t>ISSUE-063</t>
        </is>
      </c>
      <c r="B64" s="6" t="inlineStr">
        <is>
          <t>FR-021 実装: 申請エビデンス ZIP 生成（ブラウザ内）</t>
        </is>
      </c>
      <c r="C64" s="6" t="inlineStr"/>
      <c r="D64" s="6" t="inlineStr">
        <is>
          <t>機能追加</t>
        </is>
      </c>
      <c r="E64" s="3" t="inlineStr">
        <is>
          <t>高</t>
        </is>
      </c>
      <c r="F64" s="6" t="inlineStr">
        <is>
          <t>GeoJSON出力</t>
        </is>
      </c>
      <c r="G64" s="6" t="inlineStr"/>
      <c r="H64" s="6" t="inlineStr">
        <is>
          <t>2026-05-31</t>
        </is>
      </c>
      <c r="I64" s="6" t="inlineStr">
        <is>
          <t>SRS</t>
        </is>
      </c>
      <c r="J64" s="6" t="inlineStr">
        <is>
          <t>HLD</t>
        </is>
      </c>
      <c r="K64" s="6" t="inlineStr">
        <is>
          <t>未対応</t>
        </is>
      </c>
      <c r="L64" s="6" t="inlineStr"/>
      <c r="M64" s="6" t="inlineStr">
        <is>
          <t>HTML ビューアの「申請エビデンス」ボタンで JSZip を使い申請エビデンス ZIP をブラウザダウンロードする。同梱内容: merged_summit_revised.xlsx（FR-012）+ new/dominant/changed/unchanged の 4 GeoJSON。ISSUE-062（FR-012 XLSX 生成）と統合実装。SRS FR-021 で仕様確定済み。</t>
        </is>
      </c>
      <c r="N64" s="6" t="inlineStr"/>
      <c r="O64" s="6" t="inlineStr"/>
      <c r="P64" s="6" t="inlineStr"/>
    </row>
    <row r="65" ht="40" customHeight="1">
      <c r="A65" s="2" t="inlineStr">
        <is>
          <t>ISSUE-064</t>
        </is>
      </c>
      <c r="B65" s="2" t="inlineStr">
        <is>
          <t>パイプライン: gsi_tile_latest_date を merged.geojson.metadata に格納</t>
        </is>
      </c>
      <c r="C65" s="2" t="inlineStr"/>
      <c r="D65" s="2" t="inlineStr">
        <is>
          <t>改善</t>
        </is>
      </c>
      <c r="E65" s="3" t="inlineStr">
        <is>
          <t>高</t>
        </is>
      </c>
      <c r="F65" s="2" t="inlineStr">
        <is>
          <t>merge.py</t>
        </is>
      </c>
      <c r="G65" s="2" t="inlineStr"/>
      <c r="H65" s="2" t="inlineStr">
        <is>
          <t>2026-05-31</t>
        </is>
      </c>
      <c r="I65" s="2" t="inlineStr"/>
      <c r="J65" s="2" t="inlineStr"/>
      <c r="K65" s="2" t="inlineStr">
        <is>
          <t>却下</t>
        </is>
      </c>
      <c r="L65" s="2" t="inlineStr"/>
      <c r="M65" s="2" t="inlineStr">
        <is>
          <t>scripts/merge.py または scripts/prefetch_tiles.py でローカルキャッシュタイルの mtime 最大値を集計し、gsi_tile_latest_date として merged.geojson の metadata に格納する。タイルの mtime は地理院サーバの Last-Modified ヘッダと一致（prefetch_tiles.py で os.utime() により設定済み）。SRS FR-019 に仕様記載済み。</t>
        </is>
      </c>
      <c r="N65" s="2" t="inlineStr">
        <is>
          <t>フォーマット規定: YYYY-MM-DD 形式（UTC）。ビューア表示時は末尾に (UTC) を付記すること。SRS FR-019 に明記済み（2026-05-31 更新）</t>
        </is>
      </c>
      <c r="O65" s="2" t="inlineStr"/>
      <c r="P65" s="2" t="inlineStr">
        <is>
          <t>2026-06-07</t>
        </is>
      </c>
    </row>
    <row r="66" ht="40" customHeight="1">
      <c r="A66" s="2" t="inlineStr">
        <is>
          <t>ISSUE-065</t>
        </is>
      </c>
      <c r="B66" s="2" t="inlineStr">
        <is>
          <t>モックアップ「変更あり」フィルターを is_band_change_candidate ベースに統一</t>
        </is>
      </c>
      <c r="C66" s="2" t="inlineStr"/>
      <c r="D66" s="2" t="inlineStr">
        <is>
          <t>改善</t>
        </is>
      </c>
      <c r="E66" s="5" t="inlineStr">
        <is>
          <t>低</t>
        </is>
      </c>
      <c r="F66" s="2" t="inlineStr">
        <is>
          <t>その他</t>
        </is>
      </c>
      <c r="G66" s="2" t="inlineStr"/>
      <c r="H66" s="2" t="inlineStr">
        <is>
          <t>2026-05-31</t>
        </is>
      </c>
      <c r="I66" s="2" t="inlineStr"/>
      <c r="J66" s="2" t="inlineStr"/>
      <c r="K66" s="2" t="inlineStr">
        <is>
          <t>却下</t>
        </is>
      </c>
      <c r="L66" s="2" t="inlineStr"/>
      <c r="M66" s="2" t="inlineStr">
        <is>
          <t>viewer_mockup.html の「変更あり」フィルター判定を localStorage 保存ありから is_band_change_candidate=true ベースに変更する。SRS 定義（FR-012 / FR-021）との整合を取る。</t>
        </is>
      </c>
      <c r="N66" s="2" t="inlineStr"/>
      <c r="O66" s="2" t="inlineStr"/>
      <c r="P66" s="2" t="inlineStr">
        <is>
          <t>2026-06-07</t>
        </is>
      </c>
    </row>
    <row r="67" ht="40" customHeight="1">
      <c r="A67" s="7" t="inlineStr">
        <is>
          <t>ISSUE-066</t>
        </is>
      </c>
      <c r="B67" s="7" t="inlineStr">
        <is>
          <t>FR-019 検索機能実装: 実 GeoJSON データでの動作確認と本実装</t>
        </is>
      </c>
      <c r="C67" s="7" t="inlineStr">
        <is>
          <t>モックアップで実装した検索機能（サミットコード/山岳名(和英)/緯度経度の部分一致検索・サジェスト・flyTo+ポップアップ）を、本実装フェーズで実 GeoJSON データに対して再現・検証する</t>
        </is>
      </c>
      <c r="D67" s="7" t="inlineStr">
        <is>
          <t>機能追加</t>
        </is>
      </c>
      <c r="E67" s="4" t="inlineStr">
        <is>
          <t>中</t>
        </is>
      </c>
      <c r="F67" s="7" t="inlineStr">
        <is>
          <t>その他</t>
        </is>
      </c>
      <c r="G67" s="7" t="inlineStr"/>
      <c r="H67" s="7" t="inlineStr">
        <is>
          <t>2026-05-31</t>
        </is>
      </c>
      <c r="I67" s="7" t="inlineStr">
        <is>
          <t>SRS</t>
        </is>
      </c>
      <c r="J67" s="7" t="inlineStr">
        <is>
          <t>HLD</t>
        </is>
      </c>
      <c r="K67" s="7" t="inlineStr">
        <is>
          <t>未対応</t>
        </is>
      </c>
      <c r="L67" s="7" t="inlineStr"/>
      <c r="M67" s="7" t="inlineStr"/>
      <c r="N67" s="7" t="inlineStr">
        <is>
          <t>SRS FR-019 に検索機能要件を記載済み（2026-05-31）。検索対象プロパティ: summit_code / summit_name_jp / summit_name。モックアップ実装はdocs/mockup/viewer_mockup.html を参照</t>
        </is>
      </c>
      <c r="O67" s="7" t="inlineStr"/>
      <c r="P67" s="7" t="inlineStr"/>
    </row>
    <row r="68" ht="40" customHeight="1">
      <c r="A68" s="2" t="inlineStr">
        <is>
          <t>ISSUE-067</t>
        </is>
      </c>
      <c r="B68" s="2" t="inlineStr">
        <is>
          <t>国土地理院タイル出典表示の整備</t>
        </is>
      </c>
      <c r="C68" s="2" t="inlineStr"/>
      <c r="D68" s="2" t="inlineStr"/>
      <c r="E68" s="4" t="inlineStr">
        <is>
          <t>中</t>
        </is>
      </c>
      <c r="F68" s="2" t="inlineStr"/>
      <c r="G68" s="2" t="inlineStr"/>
      <c r="H68" s="2" t="inlineStr">
        <is>
          <t>2026-05-31</t>
        </is>
      </c>
      <c r="I68" s="2" t="inlineStr">
        <is>
          <t>SRS</t>
        </is>
      </c>
      <c r="J68" s="2" t="inlineStr"/>
      <c r="K68" s="2" t="inlineStr">
        <is>
          <t>解決済</t>
        </is>
      </c>
      <c r="L68" s="2" t="inlineStr"/>
      <c r="M68" s="2" t="inlineStr"/>
      <c r="N68" s="2" t="inlineStr">
        <is>
          <t>UR-011 新設（URD）、FR-013/FR-012/FR-021 出典要件追加（SRS）、ADR-URD-014 作成済み。実装対象: README / output_geojson.py / merge.py / viewer_mockup.html XLSX出力。ADR-URD-014 参照: docs/decisions/ADR-URD-014-gsi-tile-attribution-policy.md</t>
        </is>
      </c>
      <c r="O68" s="2" t="inlineStr">
        <is>
          <t>2026-05-31</t>
        </is>
      </c>
      <c r="P68" s="2" t="inlineStr">
        <is>
          <t>2026-05-31</t>
        </is>
      </c>
    </row>
    <row r="69" ht="40" customHeight="1">
      <c r="A69" s="2" t="inlineStr">
        <is>
          <t>ISSUE-068</t>
        </is>
      </c>
      <c r="B69" s="2" t="inlineStr">
        <is>
          <t>SRS パラメータ・引数の記述統一</t>
        </is>
      </c>
      <c r="C69" s="2" t="inlineStr">
        <is>
          <t>docs/02_SRS.md の機能要件で入力・引数・パラメータの記述スタイルが機能ごとにバラついている。FR-004 のモード分岐式・FR-008/018 のオプション記述・FR-001 の HLD 寄りリトライ条件等が混在。HLD 着手前にデータ辞書セクション新設・入出力テンプレ統一・任意入力+デフォルト形式へ移行し、実装方式（CLI/config.ini）の言及は HLD へ追い出す。記述規約は ADR-SRS-014 として永続化する。</t>
        </is>
      </c>
      <c r="D69" s="2" t="inlineStr">
        <is>
          <t>改善</t>
        </is>
      </c>
      <c r="E69" s="4" t="inlineStr">
        <is>
          <t>中</t>
        </is>
      </c>
      <c r="F69" s="2" t="inlineStr">
        <is>
          <t>その他</t>
        </is>
      </c>
      <c r="G69" s="2" t="inlineStr"/>
      <c r="H69" s="2" t="inlineStr">
        <is>
          <t>2026-05-31</t>
        </is>
      </c>
      <c r="I69" s="2" t="inlineStr">
        <is>
          <t>SRS</t>
        </is>
      </c>
      <c r="J69" s="2" t="inlineStr">
        <is>
          <t>SRS</t>
        </is>
      </c>
      <c r="K69" s="2" t="inlineStr">
        <is>
          <t>解決済</t>
        </is>
      </c>
      <c r="L69" s="2" t="inlineStr"/>
      <c r="M69" s="2" t="inlineStr">
        <is>
          <t>Phase A: ADR-SRS-014 起案 / Phase B: 02_SRS.md にデータ辞書セクション・テンプレ追加 / Phase C: 既存 FR を新テンプレへ移行（FR-004/008/001 で先行確認）/ Phase D: 00_GLOSSARY.md 同期</t>
        </is>
      </c>
      <c r="N69" s="2" t="inlineStr">
        <is>
          <t>計画ファイル: mgmt/plan.md（srs-nifty-tarjan）</t>
        </is>
      </c>
      <c r="O69" s="2" t="inlineStr">
        <is>
          <t>2026-05-31</t>
        </is>
      </c>
      <c r="P69" s="2" t="inlineStr">
        <is>
          <t>2026-05-31</t>
        </is>
      </c>
    </row>
    <row r="70" ht="40" customHeight="1">
      <c r="A70" s="2" t="inlineStr">
        <is>
          <t>ISSUE-069</t>
        </is>
      </c>
      <c r="B70" s="2" t="inlineStr">
        <is>
          <t>SRS データ辞書の網羅性向上・FR 名称統一・ADR-SRS-014 規約 5 追加</t>
        </is>
      </c>
      <c r="C70" s="2" t="inlineStr"/>
      <c r="D70" s="2" t="inlineStr">
        <is>
          <t>改善</t>
        </is>
      </c>
      <c r="E70" s="3" t="inlineStr">
        <is>
          <t>高</t>
        </is>
      </c>
      <c r="F70" s="2" t="inlineStr"/>
      <c r="G70" s="2" t="inlineStr"/>
      <c r="H70" s="2" t="inlineStr">
        <is>
          <t>2026-06-01</t>
        </is>
      </c>
      <c r="I70" s="2" t="inlineStr">
        <is>
          <t>SRS</t>
        </is>
      </c>
      <c r="J70" s="2" t="inlineStr"/>
      <c r="K70" s="2" t="inlineStr">
        <is>
          <t>解決済</t>
        </is>
      </c>
      <c r="L70" s="2" t="inlineStr"/>
      <c r="M70" s="2" t="inlineStr"/>
      <c r="N70" s="2" t="inlineStr">
        <is>
          <t>データ辞書(3.4→2.2)移動、中間データ登録、全21FR入出力テーブル辞書名統一、ADR-SRS-014規約5追加</t>
        </is>
      </c>
      <c r="O70" s="2" t="inlineStr">
        <is>
          <t>2026-06-01</t>
        </is>
      </c>
      <c r="P70" s="2" t="inlineStr">
        <is>
          <t>2026-06-01</t>
        </is>
      </c>
    </row>
    <row r="71" ht="40" customHeight="1">
      <c r="A71" s="7" t="inlineStr">
        <is>
          <t>ISSUE-070</t>
        </is>
      </c>
      <c r="B71" s="7" t="inlineStr">
        <is>
          <t>等高線レイヤー描画パラメータ確定（HLD）</t>
        </is>
      </c>
      <c r="C71" s="7" t="inlineStr"/>
      <c r="D71" s="7" t="inlineStr">
        <is>
          <t>機能追加</t>
        </is>
      </c>
      <c r="E71" s="3" t="inlineStr">
        <is>
          <t>高</t>
        </is>
      </c>
      <c r="F71" s="7" t="inlineStr"/>
      <c r="G71" s="7" t="inlineStr"/>
      <c r="H71" s="7" t="inlineStr">
        <is>
          <t>2026-06-02</t>
        </is>
      </c>
      <c r="I71" s="7" t="inlineStr">
        <is>
          <t>SRS</t>
        </is>
      </c>
      <c r="J71" s="7" t="inlineStr">
        <is>
          <t>HLD</t>
        </is>
      </c>
      <c r="K71" s="7" t="inlineStr">
        <is>
          <t>未対応</t>
        </is>
      </c>
      <c r="L71" s="7" t="inlineStr"/>
      <c r="M71" s="7" t="inlineStr"/>
      <c r="N71" s="7" t="inlineStr">
        <is>
          <t>【HLD で詰める内容】ADR-SRS-015 の実装詳細。モックアップ(viewer_mockup.html)での確認値を起点として最終確定する。(1) ズーム別計曲線/主曲線間隔（暫定: z≤11: 500/100m、z≤13: 200/50m、z≤14: 100/20m、z≥15: 50/10m）。(2) 線色・透明度（暫定: 計曲線 #a04020 alpha=120、主曲線 #c87850 alpha=70。OSM・地理院淡色との合成可読性で微調整）。(3) 描画アルゴリズム（現状: 隣接セル比較、257×257拡張グリッドでタイル境界を解消済み）。(4) 本番 HTML 実装時はモックアップの ContourLayer コードを参照すること。</t>
        </is>
      </c>
      <c r="O71" s="7" t="inlineStr"/>
      <c r="P71" s="7" t="inlineStr"/>
    </row>
    <row r="72" ht="40" customHeight="1">
      <c r="A72" s="6" t="inlineStr">
        <is>
          <t>ISSUE-071</t>
        </is>
      </c>
      <c r="B72" s="6" t="inlineStr">
        <is>
          <t>標高タイル選択・フォールバック実装方針（HLD）</t>
        </is>
      </c>
      <c r="C72" s="6" t="inlineStr"/>
      <c r="D72" s="6" t="inlineStr">
        <is>
          <t>機能追加</t>
        </is>
      </c>
      <c r="E72" s="3" t="inlineStr">
        <is>
          <t>高</t>
        </is>
      </c>
      <c r="F72" s="6" t="inlineStr"/>
      <c r="G72" s="6" t="inlineStr"/>
      <c r="H72" s="6" t="inlineStr">
        <is>
          <t>2026-06-02</t>
        </is>
      </c>
      <c r="I72" s="6" t="inlineStr">
        <is>
          <t>SRS</t>
        </is>
      </c>
      <c r="J72" s="6" t="inlineStr">
        <is>
          <t>HLD</t>
        </is>
      </c>
      <c r="K72" s="6" t="inlineStr">
        <is>
          <t>未対応</t>
        </is>
      </c>
      <c r="L72" s="6" t="inlineStr"/>
      <c r="M72" s="6" t="inlineStr"/>
      <c r="N72" s="6" t="inlineStr">
        <is>
          <t>【HLD で詰める内容】ADR-SRS-015 の実装詳細。(1) ズーム別優先タイル（dem10b/dem5a/dem1a）の選択ロジック確定。(2) 404 時フォールバック順序（dem5a→dem5b→dem5c→dem_png z14 縮小補完）の本番実装。(3) dem1a（z=17、1m メッシュ）採用可否の再評価（ADR-SRS-015 で現状見送り）。(4) 取得失敗時の Canvas タイル扱い（透明 or 「等高線なし」表示）。(5) GSI 規約上問題のない並列リクエスト数の上限確認。(6) fetch + blob URL 方式（CORS canvas taint 回避）の維持確認。</t>
        </is>
      </c>
      <c r="O72" s="6" t="inlineStr"/>
      <c r="P72" s="6" t="inlineStr"/>
    </row>
    <row r="73" ht="40" customHeight="1">
      <c r="A73" s="7" t="inlineStr">
        <is>
          <t>ISSUE-072</t>
        </is>
      </c>
      <c r="B73" s="7" t="inlineStr">
        <is>
          <t>Leaflet pane 構成と重ね順の整理（HLD）</t>
        </is>
      </c>
      <c r="C73" s="7" t="inlineStr"/>
      <c r="D73" s="7" t="inlineStr">
        <is>
          <t>改善</t>
        </is>
      </c>
      <c r="E73" s="4" t="inlineStr">
        <is>
          <t>中</t>
        </is>
      </c>
      <c r="F73" s="7" t="inlineStr"/>
      <c r="G73" s="7" t="inlineStr"/>
      <c r="H73" s="7" t="inlineStr">
        <is>
          <t>2026-06-02</t>
        </is>
      </c>
      <c r="I73" s="7" t="inlineStr">
        <is>
          <t>SRS</t>
        </is>
      </c>
      <c r="J73" s="7" t="inlineStr">
        <is>
          <t>HLD</t>
        </is>
      </c>
      <c r="K73" s="7" t="inlineStr">
        <is>
          <t>未対応</t>
        </is>
      </c>
      <c r="L73" s="7" t="inlineStr"/>
      <c r="M73" s="7" t="inlineStr"/>
      <c r="N73" s="7" t="inlineStr">
        <is>
          <t>【HLD で詰める内容】(1) contourPane（z-index=250、pointerEvents=none）の正式採用（モックアップで実装済み・検証必要）。(2) 既存オーバーレイ（基準点 cpLayer z=400、1次メッシュ meshGrid z=400）との z-index 整合性確認。(3) 等高線レイヤーのレイヤーコントロール配置（overlay 欄・デフォルト OFF）の確認。(4) 公開用 HTML（FR-020）への等高線レイヤー引き継ぎ方針。</t>
        </is>
      </c>
      <c r="O73" s="7" t="inlineStr"/>
      <c r="P73" s="7" t="inlineStr"/>
    </row>
    <row r="74" ht="40" customHeight="1">
      <c r="A74" s="6" t="inlineStr">
        <is>
          <t>ISSUE-073</t>
        </is>
      </c>
      <c r="B74" s="6" t="inlineStr">
        <is>
          <t>attribution 制御方式の確定（HLD）</t>
        </is>
      </c>
      <c r="C74" s="6" t="inlineStr"/>
      <c r="D74" s="6" t="inlineStr">
        <is>
          <t>改善</t>
        </is>
      </c>
      <c r="E74" s="4" t="inlineStr">
        <is>
          <t>中</t>
        </is>
      </c>
      <c r="F74" s="6" t="inlineStr"/>
      <c r="G74" s="6" t="inlineStr"/>
      <c r="H74" s="6" t="inlineStr">
        <is>
          <t>2026-06-02</t>
        </is>
      </c>
      <c r="I74" s="6" t="inlineStr">
        <is>
          <t>SRS</t>
        </is>
      </c>
      <c r="J74" s="6" t="inlineStr">
        <is>
          <t>HLD</t>
        </is>
      </c>
      <c r="K74" s="6" t="inlineStr">
        <is>
          <t>未対応</t>
        </is>
      </c>
      <c r="L74" s="6" t="inlineStr"/>
      <c r="M74" s="6" t="inlineStr"/>
      <c r="N74" s="6" t="inlineStr">
        <is>
          <t>【HLD で詰める内容】(1) map.attributionControl.addAttribution() による固定 attribution 追加方式の本番実装（モックアップで確認済み）。(2) 基図の GSI 系タイル（地理院標準・淡色）自体の attribution と固定 attribution の重複表示の扱い（現状: 2つの GSI リンクが並ぶ。許容するか整理するか）。(3) 公開用 HTML エクスポート（FR-020）への引き継ぎ確認。</t>
        </is>
      </c>
      <c r="O74" s="6" t="inlineStr"/>
      <c r="P74" s="6" t="inlineStr"/>
    </row>
    <row r="75" ht="40" customHeight="1">
      <c r="A75" s="7" t="inlineStr">
        <is>
          <t>ISSUE-074</t>
        </is>
      </c>
      <c r="B75" s="7" t="inlineStr">
        <is>
          <t>Phase構造の再編: Phase 2-1/2-2/3 → Phase 2/3 フェーズ単位ループへ変更</t>
        </is>
      </c>
      <c r="C75" s="7" t="inlineStr">
        <is>
          <t>Phase 2-1/2-2/3 の3区分構造を Phase 2/3 のフェーズ単位ループへ変更する。Phase 3 のループ構造を明示し、3.3.2 俯瞰図と関連 FR 本文を更新する。3.3.1 マトリクスの横軸も Phase 1/2/3/4/5 に再編する。</t>
        </is>
      </c>
      <c r="D75" s="7" t="inlineStr">
        <is>
          <t>改善</t>
        </is>
      </c>
      <c r="E75" s="4" t="inlineStr">
        <is>
          <t>中</t>
        </is>
      </c>
      <c r="F75" s="7" t="inlineStr"/>
      <c r="G75" s="7" t="inlineStr"/>
      <c r="H75" s="7" t="inlineStr">
        <is>
          <t>2026-06-04</t>
        </is>
      </c>
      <c r="I75" s="7" t="inlineStr">
        <is>
          <t>SRS</t>
        </is>
      </c>
      <c r="J75" s="7" t="inlineStr">
        <is>
          <t>SRS</t>
        </is>
      </c>
      <c r="K75" s="7" t="inlineStr">
        <is>
          <t>未対応</t>
        </is>
      </c>
      <c r="L75" s="7" t="inlineStr"/>
      <c r="M75" s="7" t="inlineStr"/>
      <c r="N75" s="7" t="inlineStr"/>
      <c r="O75" s="7" t="inlineStr"/>
      <c r="P75" s="7" t="inlineStr"/>
    </row>
    <row r="76" ht="40" customHeight="1">
      <c r="A76" s="6" t="inlineStr">
        <is>
          <t>ISSUE-075</t>
        </is>
      </c>
      <c r="B76" s="6" t="inlineStr">
        <is>
          <t>FR-004/FR-014 責務分担変更 + ADR-SRS-004 更新</t>
        </is>
      </c>
      <c r="C76" s="6" t="inlineStr">
        <is>
          <t>FR-004 を「3x3メッシュ結合解析オーケストレーション」に改名・3x3 専用に純化（N≥4 モード削除）。FR-014 を「広域結合解析オーケストレーション」に格上げし、4 コーナー配置（NW/NE/SW/SE）生成を内部化。ADR-SRS-004 を本方針に合わせて再更新する。</t>
        </is>
      </c>
      <c r="D76" s="6" t="inlineStr">
        <is>
          <t>改善</t>
        </is>
      </c>
      <c r="E76" s="4" t="inlineStr">
        <is>
          <t>中</t>
        </is>
      </c>
      <c r="F76" s="6" t="inlineStr"/>
      <c r="G76" s="6" t="inlineStr"/>
      <c r="H76" s="6" t="inlineStr">
        <is>
          <t>2026-06-04</t>
        </is>
      </c>
      <c r="I76" s="6" t="inlineStr">
        <is>
          <t>SRS</t>
        </is>
      </c>
      <c r="J76" s="6" t="inlineStr">
        <is>
          <t>SRS</t>
        </is>
      </c>
      <c r="K76" s="6" t="inlineStr">
        <is>
          <t>対応完了</t>
        </is>
      </c>
      <c r="L76" s="6" t="inlineStr"/>
      <c r="M76" s="6" t="inlineStr"/>
      <c r="N76" s="6" t="inlineStr">
        <is>
          <t>完了後、ISSUE-087（SRS FR-005 ピーク候補検出のレビュー反映）に着手すること。FR-005 観点 L（制御フロー・オーケストレーション所在）の確定は本 ISSUE の再編結果に依存する。</t>
        </is>
      </c>
      <c r="O76" s="6" t="inlineStr">
        <is>
          <t>2026-06-09</t>
        </is>
      </c>
      <c r="P76" s="6" t="inlineStr"/>
    </row>
    <row r="77" ht="40" customHeight="1">
      <c r="A77" s="7" t="inlineStr">
        <is>
          <t>ISSUE-076</t>
        </is>
      </c>
      <c r="B77" s="7" t="inlineStr">
        <is>
          <t>FR-022 出力明示 + フェーズ遷移制御の所在</t>
        </is>
      </c>
      <c r="C77" s="7" t="inlineStr">
        <is>
          <t>FR-022 出力テーブルに「未解決ピーク座標リスト」「次の N 値」「次のアクション (Phase 3 起動 / Phase 4 移行)」を明示する。フェーズ遷移制御を SRS のどこまで規定し HLD に何を委ねるかを決定する。</t>
        </is>
      </c>
      <c r="D77" s="7" t="inlineStr">
        <is>
          <t>改善</t>
        </is>
      </c>
      <c r="E77" s="4" t="inlineStr">
        <is>
          <t>中</t>
        </is>
      </c>
      <c r="F77" s="7" t="inlineStr"/>
      <c r="G77" s="7" t="inlineStr"/>
      <c r="H77" s="7" t="inlineStr">
        <is>
          <t>2026-06-04</t>
        </is>
      </c>
      <c r="I77" s="7" t="inlineStr">
        <is>
          <t>SRS</t>
        </is>
      </c>
      <c r="J77" s="7" t="inlineStr">
        <is>
          <t>SRS</t>
        </is>
      </c>
      <c r="K77" s="7" t="inlineStr">
        <is>
          <t>未対応</t>
        </is>
      </c>
      <c r="L77" s="7" t="inlineStr"/>
      <c r="M77" s="7" t="inlineStr"/>
      <c r="N77" s="7" t="inlineStr"/>
      <c r="O77" s="7" t="inlineStr"/>
      <c r="P77" s="7" t="inlineStr"/>
    </row>
    <row r="78" ht="40" customHeight="1">
      <c r="A78" s="2" t="inlineStr">
        <is>
          <t>ISSUE-077</t>
        </is>
      </c>
      <c r="B78" s="2" t="inlineStr">
        <is>
          <t>外部I/F・ユーザー入力・内部データの三分類規約とSRS再編</t>
        </is>
      </c>
      <c r="C78" s="2" t="inlineStr"/>
      <c r="D78" s="2" t="inlineStr">
        <is>
          <t>設計</t>
        </is>
      </c>
      <c r="E78" s="3" t="inlineStr">
        <is>
          <t>高</t>
        </is>
      </c>
      <c r="F78" s="2" t="inlineStr"/>
      <c r="G78" s="2" t="inlineStr"/>
      <c r="H78" s="2" t="inlineStr">
        <is>
          <t>2026-06-05</t>
        </is>
      </c>
      <c r="I78" s="2" t="inlineStr">
        <is>
          <t>SRS</t>
        </is>
      </c>
      <c r="J78" s="2" t="inlineStr"/>
      <c r="K78" s="2" t="inlineStr">
        <is>
          <t>解決済</t>
        </is>
      </c>
      <c r="L78" s="2" t="inlineStr"/>
      <c r="M78" s="2" t="inlineStr"/>
      <c r="N78" s="2" t="inlineStr">
        <is>
          <t>CLAUDE.md・GLOSSARY・SRS・ADR-SRS-016 を更新。2.2.2廃止→7.2、6.10/6.14/6.16/6.17移設、7→8/8→9/9→10リナンバリング</t>
        </is>
      </c>
      <c r="O78" s="2" t="inlineStr">
        <is>
          <t>2026-06-05</t>
        </is>
      </c>
      <c r="P78" s="2" t="inlineStr">
        <is>
          <t>2026-06-05</t>
        </is>
      </c>
    </row>
    <row r="79" ht="40" customHeight="1">
      <c r="A79" s="2" t="inlineStr">
        <is>
          <t>ISSUE-078</t>
        </is>
      </c>
      <c r="B79" s="2" t="inlineStr">
        <is>
          <t>ADR-URD-005 北方領土除外タイル取り逃しリスクの実データ検証</t>
        </is>
      </c>
      <c r="C79" s="2" t="inlineStr">
        <is>
          <t>ADR-URD-005「タイル単位除外で十分な精度が得られる理由」の論証が「本土を誤除外しない」のみで、「北方領土を取り逃さない」根拠が実データで未検証。FR-017 レビュー（2026-06-05）で論点として浮上し、別タスクに切り出し。
検証内容:
- N03 から北方領土ポリゴン抽出
- 北方領土領域の DEM タイル（dem5/dem10）でピーク検出
- プロミネンス 150m 以上のピークがポリゴン端付近に存在するか確認
- 存在しなければ ADR の論証として確定
- 存在する場合は buffer 処理（ポリゴンを海側に拡張）を導入</t>
        </is>
      </c>
      <c r="D79" s="2" t="inlineStr">
        <is>
          <t>調査</t>
        </is>
      </c>
      <c r="E79" s="3" t="inlineStr">
        <is>
          <t>高</t>
        </is>
      </c>
      <c r="F79" s="2" t="inlineStr">
        <is>
          <t>その他</t>
        </is>
      </c>
      <c r="G79" s="2" t="inlineStr"/>
      <c r="H79" s="2" t="inlineStr">
        <is>
          <t>2026-06-05</t>
        </is>
      </c>
      <c r="I79" s="2" t="inlineStr">
        <is>
          <t>URD</t>
        </is>
      </c>
      <c r="J79" s="2" t="inlineStr"/>
      <c r="K79" s="2" t="inlineStr">
        <is>
          <t>解決済</t>
        </is>
      </c>
      <c r="L79" s="2" t="inlineStr"/>
      <c r="M79" s="2" t="inlineStr"/>
      <c r="N79" s="2" t="inlineStr">
        <is>
          <t>FR-017 レビュー時にユーザーから「ADR-URD-005 の主張が疑わしい」との指摘あり。論理的には『取り逃しタイル ≒ 海岸線付近 ≒ 標高低 = サミット候補にならない』だが、実データ確認が必要。</t>
        </is>
      </c>
      <c r="O79" s="2" t="inlineStr"/>
      <c r="P79" s="2" t="inlineStr">
        <is>
          <t>2026-06-05</t>
        </is>
      </c>
    </row>
    <row r="80" ht="40" customHeight="1">
      <c r="A80" s="2" t="inlineStr">
        <is>
          <t>ISSUE-079</t>
        </is>
      </c>
      <c r="B80" s="2" t="inlineStr">
        <is>
          <t>scripts/preprocess_pref_boundaries.py を FR-017 改訂版仕様に追従</t>
        </is>
      </c>
      <c r="C80" s="2" t="inlineStr">
        <is>
          <t>FR-017 SRS 改訂（2026-06-05）に伴う実装変更。
主な変更点:
1. ZIP 自動検出方式に対応（$DATA_DIR/ref/ を N03-(\\d{8})_GML\\.zip で走査、YYYYMMDD 最大を採用）
2. ZIP 内市区町村版 GeoJSON のみを一時ディレクトリに展開して処理、処理後削除
3. 都府県/振興局 dissolve 出力を 60 地域（46 都府県 + 14 振興局）に修正（現状実装が 61 地域となっていないか確認）
4. params/config.ini の n03_year 設定参照を廃止
5. 採用 ZIP 名・YYYYMMDD・サイズをログに出力
6. 公式 _prefecture.geojson は使用しない（dissolve されておらず振興局情報なし）
仕様詳細: docs/02_SRS.md FR-017・7.1.3・7.2.1・ADR-URD-005</t>
        </is>
      </c>
      <c r="D80" s="2" t="inlineStr">
        <is>
          <t>改善</t>
        </is>
      </c>
      <c r="E80" s="3" t="inlineStr">
        <is>
          <t>高</t>
        </is>
      </c>
      <c r="F80" s="2" t="inlineStr">
        <is>
          <t>その他</t>
        </is>
      </c>
      <c r="G80" s="2" t="inlineStr"/>
      <c r="H80" s="2" t="inlineStr">
        <is>
          <t>2026-06-05</t>
        </is>
      </c>
      <c r="I80" s="2" t="inlineStr">
        <is>
          <t>COD</t>
        </is>
      </c>
      <c r="J80" s="2" t="inlineStr"/>
      <c r="K80" s="2" t="inlineStr">
        <is>
          <t>却下</t>
        </is>
      </c>
      <c r="L80" s="2" t="inlineStr"/>
      <c r="M80" s="2" t="inlineStr"/>
      <c r="N80" s="2" t="inlineStr">
        <is>
          <t>【ADR-SRS-018 反映】4.1/4.2 の章順序入れ替え自体には実装上の影響なし。出力ファイル仕様（3 種類）は変更なし。</t>
        </is>
      </c>
      <c r="O80" s="2" t="inlineStr"/>
      <c r="P80" s="2" t="inlineStr">
        <is>
          <t>2026-06-07</t>
        </is>
      </c>
    </row>
    <row r="81" ht="40" customHeight="1">
      <c r="A81" s="2" t="inlineStr">
        <is>
          <t>ISSUE-080</t>
        </is>
      </c>
      <c r="B81" s="2" t="inlineStr">
        <is>
          <t>全文書「ユーザー」→「ユーザー」・「キャッシュ」→「ローカルキャッシュ」表記統一</t>
        </is>
      </c>
      <c r="C81" s="2" t="inlineStr"/>
      <c r="D81" s="2" t="inlineStr">
        <is>
          <t>改善</t>
        </is>
      </c>
      <c r="E81" s="4" t="inlineStr">
        <is>
          <t>中</t>
        </is>
      </c>
      <c r="F81" s="2" t="inlineStr"/>
      <c r="G81" s="2" t="inlineStr"/>
      <c r="H81" s="2" t="inlineStr">
        <is>
          <t>2026-06-06</t>
        </is>
      </c>
      <c r="I81" s="2" t="inlineStr">
        <is>
          <t>SRS</t>
        </is>
      </c>
      <c r="J81" s="2" t="inlineStr"/>
      <c r="K81" s="2" t="inlineStr">
        <is>
          <t>解決済</t>
        </is>
      </c>
      <c r="L81" s="2" t="inlineStr"/>
      <c r="M81" s="2" t="inlineStr">
        <is>
          <t>対象ファイル全件の用語を統一する。ユーザー→ユーザー は機械置換（42件）、キャッシュ→ローカルキャッシュ はタイル限定の文脈判別置換（16箇所）。アンカーリンクも同時更新。コードは対象外。</t>
        </is>
      </c>
      <c r="N81" s="2" t="inlineStr"/>
      <c r="O81" s="2" t="inlineStr">
        <is>
          <t>2026-06-06</t>
        </is>
      </c>
      <c r="P81" s="2" t="inlineStr">
        <is>
          <t>2026-06-06</t>
        </is>
      </c>
    </row>
    <row r="82" ht="40" customHeight="1">
      <c r="A82" s="2" t="inlineStr">
        <is>
          <t>ISSUE-081</t>
        </is>
      </c>
      <c r="B82" s="2" t="inlineStr">
        <is>
          <t>SRS: 北方領土除外をタイル取得段階に前倒し・4.1/4.2 入れ替え・3.2/3.3.1/3.3.2 修正</t>
        </is>
      </c>
      <c r="C82" s="2" t="inlineStr">
        <is>
          <t>FR-001/FR-017 の順序入れ替えに伴う SRS 改訂。
主な変更:
1. 4.1/4.2 セクション番号入れ替え（行政区域前処理→タイル取得の順）
2. 3.2/3.3.1/3.3.2 もそれに合わせて修正
3. FR-001 入力: 北方領土除外タイルリスト（必須）追加・1次メッシュコードリストを任意（デフォルト=日本全土）に変更
4. FR-017 概要修正（FR-004→FR-001）・フォールバック節削除
5. FR-004 から北方領土タイル除外段落削除
6. データ辞書 7.2/7.2.1 の参照先を FR-004→FR-001 に変更
7. ADR-SRS-018 新規作成
8. ISSUE-056/ISSUE-079 説明文追記
仕様詳細: mgmt/plan.md</t>
        </is>
      </c>
      <c r="D82" s="2" t="inlineStr"/>
      <c r="E82" s="3" t="inlineStr">
        <is>
          <t>高</t>
        </is>
      </c>
      <c r="F82" s="2" t="inlineStr"/>
      <c r="G82" s="2" t="inlineStr"/>
      <c r="H82" s="2" t="inlineStr">
        <is>
          <t>2026-06-07</t>
        </is>
      </c>
      <c r="I82" s="2" t="inlineStr">
        <is>
          <t>SRS</t>
        </is>
      </c>
      <c r="J82" s="2" t="inlineStr"/>
      <c r="K82" s="2" t="inlineStr">
        <is>
          <t>解決済</t>
        </is>
      </c>
      <c r="L82" s="2" t="inlineStr"/>
      <c r="M82" s="2" t="inlineStr"/>
      <c r="N82" s="2" t="inlineStr"/>
      <c r="O82" s="2" t="inlineStr">
        <is>
          <t>2026-06-07</t>
        </is>
      </c>
      <c r="P82" s="2" t="inlineStr">
        <is>
          <t>2026-06-07</t>
        </is>
      </c>
    </row>
    <row r="83" ht="40" customHeight="1">
      <c r="A83" s="7" t="inlineStr">
        <is>
          <t>ISSUE-082</t>
        </is>
      </c>
      <c r="B83" s="7" t="inlineStr">
        <is>
          <t>SRS/URD 全体の裸 FR-XXX/UR-XXX/NFR-XXX 参照の一括リンク化</t>
        </is>
      </c>
      <c r="C83" s="7" t="inlineStr">
        <is>
          <t>SRS・URD 全体に散在する裸の FR-XXX/UR-XXX/NFR-XXX 表記（約100件規模）を Markdown リンクに一括変換する。CLAUDE.md ドキュメントフォーマット標準にリンク化方針を追記済み（FR-015 レビュー観点 G 対応時に追記）。FR-015 周辺は観点 G の対応で解決済み。残りの SRS/URD 全体分が対象。</t>
        </is>
      </c>
      <c r="D83" s="7" t="inlineStr">
        <is>
          <t>改善</t>
        </is>
      </c>
      <c r="E83" s="5" t="inlineStr">
        <is>
          <t>低</t>
        </is>
      </c>
      <c r="F83" s="7" t="inlineStr"/>
      <c r="G83" s="7" t="inlineStr"/>
      <c r="H83" s="7" t="inlineStr">
        <is>
          <t>2026-06-08</t>
        </is>
      </c>
      <c r="I83" s="7" t="inlineStr">
        <is>
          <t>SRS</t>
        </is>
      </c>
      <c r="J83" s="7" t="inlineStr"/>
      <c r="K83" s="7" t="inlineStr">
        <is>
          <t>未対応</t>
        </is>
      </c>
      <c r="L83" s="7" t="inlineStr"/>
      <c r="M83" s="7" t="inlineStr"/>
      <c r="N83" s="7" t="inlineStr">
        <is>
          <t>FR-015 レビュー（観点 G）の別 ISSUE として登録。CLAUDE.md のフォーマット標準『他 FR/UR/NFR/セクションへの参照は Markdown リンクで記述する』が根拠</t>
        </is>
      </c>
      <c r="O83" s="7" t="inlineStr"/>
      <c r="P83" s="7" t="inlineStr"/>
    </row>
    <row r="84" ht="40" customHeight="1">
      <c r="A84" s="6" t="inlineStr">
        <is>
          <t>ISSUE-083</t>
        </is>
      </c>
      <c r="B84" s="6" t="inlineStr">
        <is>
          <t>SRS 全 FR の入出力テーブル形式欄の一括見直し</t>
        </is>
      </c>
      <c r="C84" s="6" t="inlineStr">
        <is>
          <t>SRS の全 FR 入出力テーブルの「形式」欄を見直し、ファイル形式・データ型のみに統一する。特性記述（解像度・色分け・データ範囲等）は「備考」欄に移動する。CLAUDE.md ドキュメントフォーマット標準に方針を追記済み（FR-015 レビュー観点 I 対応時に追記）。FR-015 出力テーブルは観点 I の対応で修正済み。残りの全 FR 分が対象。</t>
        </is>
      </c>
      <c r="D84" s="6" t="inlineStr">
        <is>
          <t>改善</t>
        </is>
      </c>
      <c r="E84" s="5" t="inlineStr">
        <is>
          <t>低</t>
        </is>
      </c>
      <c r="F84" s="6" t="inlineStr"/>
      <c r="G84" s="6" t="inlineStr"/>
      <c r="H84" s="6" t="inlineStr">
        <is>
          <t>2026-06-08</t>
        </is>
      </c>
      <c r="I84" s="6" t="inlineStr">
        <is>
          <t>SRS</t>
        </is>
      </c>
      <c r="J84" s="6" t="inlineStr"/>
      <c r="K84" s="6" t="inlineStr">
        <is>
          <t>未対応</t>
        </is>
      </c>
      <c r="L84" s="6" t="inlineStr"/>
      <c r="M84" s="6" t="inlineStr"/>
      <c r="N84" s="6" t="inlineStr">
        <is>
          <t>FR-015 レビュー（観点 I）の別 ISSUE として登録。CLAUDE.md のフォーマット標準『入出力テーブルの形式欄はファイル形式・データ型のみを記載する』が根拠</t>
        </is>
      </c>
      <c r="O84" s="6" t="inlineStr"/>
      <c r="P84" s="6" t="inlineStr"/>
    </row>
    <row r="85" ht="40" customHeight="1">
      <c r="A85" s="7" t="inlineStr">
        <is>
          <t>ISSUE-084</t>
        </is>
      </c>
      <c r="B85" s="7" t="inlineStr">
        <is>
          <t>ピーク候補リスト・コル情報の内部トランザクション化検討</t>
        </is>
      </c>
      <c r="C85" s="7" t="inlineStr">
        <is>
          <t>解析範囲結合画像と同様に、ピーク候補リスト・コル情報も内部トランザクションとして分類すべきかを検討する。FR-005 出力のピーク候補リストと FR-006 出力のコル情報は独立した中央データ構造として保持されるか（内部データ）、FR 間の一時的な受け渡し値に過ぎないか（内部トランザクション）を ADR-SRS-017 の基準で判定する。</t>
        </is>
      </c>
      <c r="D85" s="7" t="inlineStr">
        <is>
          <t>設計</t>
        </is>
      </c>
      <c r="E85" s="5" t="inlineStr">
        <is>
          <t>低</t>
        </is>
      </c>
      <c r="F85" s="7" t="inlineStr"/>
      <c r="G85" s="7" t="inlineStr"/>
      <c r="H85" s="7" t="inlineStr">
        <is>
          <t>2026-06-08</t>
        </is>
      </c>
      <c r="I85" s="7" t="inlineStr">
        <is>
          <t>SRS</t>
        </is>
      </c>
      <c r="J85" s="7" t="inlineStr"/>
      <c r="K85" s="7" t="inlineStr">
        <is>
          <t>未対応</t>
        </is>
      </c>
      <c r="L85" s="7" t="inlineStr"/>
      <c r="M85" s="7" t="inlineStr"/>
      <c r="N85" s="7" t="inlineStr">
        <is>
          <t>FR-015 レビュー（観点 H）の別 ISSUE として登録。解析範囲結合画像の内部トランザクション化（ISSUE-083 相当修正）との一貫性検討として登録</t>
        </is>
      </c>
      <c r="O85" s="7" t="inlineStr"/>
      <c r="P85" s="7" t="inlineStr"/>
    </row>
    <row r="86" ht="40" customHeight="1">
      <c r="A86" s="6" t="inlineStr">
        <is>
          <t>ISSUE-085</t>
        </is>
      </c>
      <c r="B86" s="6" t="inlineStr">
        <is>
          <t>mesh_analyze.c::elev_to_rgb() の標高レーン定義ハードコード外出し</t>
        </is>
      </c>
      <c r="C86" s="6" t="inlineStr">
        <is>
          <t>src/mesh_analyze.c の elev_to_rgb() 内に直接記述されている標高レーン定義（stops[] / colors[][]）を外部化する。SRS 6.8 で標高レーン定義表を確定したため（FR-015 レビュー観点 J）、SRS で定義された値を実装側が参照する形にする。外出しの具体形式（設定ファイル / 専用ヘッダー / JSON 等）は HLD/LLD マター。</t>
        </is>
      </c>
      <c r="D86" s="6" t="inlineStr">
        <is>
          <t>改善</t>
        </is>
      </c>
      <c r="E86" s="4" t="inlineStr">
        <is>
          <t>中</t>
        </is>
      </c>
      <c r="F86" s="6" t="inlineStr"/>
      <c r="G86" s="6" t="inlineStr"/>
      <c r="H86" s="6" t="inlineStr">
        <is>
          <t>2026-06-08</t>
        </is>
      </c>
      <c r="I86" s="6" t="inlineStr">
        <is>
          <t>COD</t>
        </is>
      </c>
      <c r="J86" s="6" t="inlineStr"/>
      <c r="K86" s="6" t="inlineStr">
        <is>
          <t>未対応</t>
        </is>
      </c>
      <c r="L86" s="6" t="inlineStr"/>
      <c r="M86" s="6" t="inlineStr"/>
      <c r="N86" s="6" t="inlineStr">
        <is>
          <t>FR-015 レビュー（観点 J 実装側）の別 ISSUE として登録。SRS 6.8 に Japan Topo スキームの標高レーン定義表が確定済み</t>
        </is>
      </c>
      <c r="O86" s="6" t="inlineStr"/>
      <c r="P86" s="6" t="inlineStr"/>
    </row>
    <row r="87" ht="40" customHeight="1">
      <c r="A87" s="7" t="inlineStr">
        <is>
          <t>ISSUE-086</t>
        </is>
      </c>
      <c r="B87" s="7" t="inlineStr">
        <is>
          <t>mesh_analyze.h 内コメント「Terrain-RGB PNG」の修正</t>
        </is>
      </c>
      <c r="C87" s="7" t="inlineStr">
        <is>
          <t>src/mesh_analyze.h 内のコメントに含まれる「Terrain-RGB PNG」という誤用表現を修正する。「Terrain-RGB」は Mapbox 由来の入力タイル形式の業界用語であり、出力ファイルの呼称として誤っている。SRS 6.8 のタイトル変更（FR-015 レビュー観点 B）に合わせて実装側コメントも追従する。</t>
        </is>
      </c>
      <c r="D87" s="7" t="inlineStr">
        <is>
          <t>改善</t>
        </is>
      </c>
      <c r="E87" s="5" t="inlineStr">
        <is>
          <t>低</t>
        </is>
      </c>
      <c r="F87" s="7" t="inlineStr"/>
      <c r="G87" s="7" t="inlineStr"/>
      <c r="H87" s="7" t="inlineStr">
        <is>
          <t>2026-06-08</t>
        </is>
      </c>
      <c r="I87" s="7" t="inlineStr">
        <is>
          <t>COD</t>
        </is>
      </c>
      <c r="J87" s="7" t="inlineStr"/>
      <c r="K87" s="7" t="inlineStr">
        <is>
          <t>未対応</t>
        </is>
      </c>
      <c r="L87" s="7" t="inlineStr"/>
      <c r="M87" s="7" t="inlineStr"/>
      <c r="N87" s="7" t="inlineStr">
        <is>
          <t>FR-015 レビュー（観点 B 実装側追従）の別 ISSUE として登録</t>
        </is>
      </c>
      <c r="O87" s="7" t="inlineStr"/>
      <c r="P87" s="7" t="inlineStr"/>
    </row>
    <row r="88" ht="40" customHeight="1">
      <c r="A88" s="6" t="inlineStr">
        <is>
          <t>ISSUE-087</t>
        </is>
      </c>
      <c r="B88" s="6" t="inlineStr">
        <is>
          <t>SRS FR-005 ピーク候補検出のレビュー反映</t>
        </is>
      </c>
      <c r="C88" s="6" t="inlineStr">
        <is>
          <t>SRS FR-005「ピーク候補検出」のレビュー結果を反映する。
## 前提条件
ISSUE-075（FR-004/FR-014 責務再編 + ADR-SRS-004 更新）完了が前提。
観点 L/M/N の確定は ISSUE-075 の再編結果に依存するため、ISSUE-075 完了後に着手すること。
## レビュー観点リスト
| 観点 | 内容 | 優先度 | 備考 |
|---|---|---|---|
| L | 制御フロー・オーケストレーション所在の明示 | 最重要 | ISSUE-075 完了後に確定 |
| M | FR-005/006 単一走査の明示（C から発展） | 高 | ISSUE-075 完了後に確定 |
| N | FR-007/016 への遷移条件 | 高 | ISSUE-075 完了後に確定 |
| A | 対応 UR（UR-002 除外検討） | 中 | 独立に判断可 |
| B | 概要の中粒度化 | 中 | 独立に判断可 |
| D | 説明の仕様抜け（NODATA・0m・決定論・1px ボーダー） | 中 | 独立に判断可 |
| E | 出力テーブル形式欄整理（CLAUDE.md 観点 I 違反） | 低 | 独立に判断可 |
| F | 「ピーク候補」と「ピーク」の使い分け | 中 | 独立に判断可 |
| G | 「山塊グループ」用語定義 | 低 | 独立に判断可 |
| H | 異常系セクションの有無 | 低 | 独立に判断可 |
| I | 広域モード言及 | 低 | ISSUE-075 完了後に整合確認 |
| J | アルゴリズム説明の SRS/HLD 所在 | 中 | 独立に判断可 |
| K | 内部データ分類見直し | — | ISSUE-084 既登録・本件対象外 |
## 観点 L の現状認識
- SRS では各 FR の責務は書かれているが、全体の制御がどう流れるかが見えない
- FR-004 概要「per-mesh パイプライン（FR-005〜FR-007・FR-016）に引き渡す」の「引き渡す」が曖昧
- FR-005 説明はピクセル単位の動作のみで、ループの主体（誰が回すか）が不明
- FR-006 説明「FR-005 の処理中に…」で走査共有が暗黙
- per-mesh パイプライン全体の処理フロー俯瞰図が SRS にない
## 改善方向（ISSUE-075 完了後に確定）
1. FR-004 に「per-mesh オーケストレーション役割」を明示（結合画像生成 → FR-005/006 走査 → FR-007 出力 → FR-016 ポリゴン生成）
2. FR-005/FR-006 を「同一の単一ピクセル走査ループ内で機能分担して実行」と明示
3. 4.3 セクション冒頭 or FR-004 説明末尾に per-mesh パイプライン処理フロー図を追加
## 議論経緯（2026-06-09 セッション）
FR-005 レビュー観点を整理する中で、ユーザーから「全体との関連がよくわからない。FR-004 と FR-005 の制御所在が不明」との指摘があり観点 L が浮上。L の改善方向は FR-004 のオーケストレーション役割明示を含み、ISSUE-075 の再編と一体作業になるため、ISSUE-075 完了後に本 ISSUE 着手とした。</t>
        </is>
      </c>
      <c r="D88" s="6" t="inlineStr">
        <is>
          <t>改善</t>
        </is>
      </c>
      <c r="E88" s="4" t="inlineStr">
        <is>
          <t>中</t>
        </is>
      </c>
      <c r="F88" s="6" t="inlineStr"/>
      <c r="G88" s="6" t="inlineStr">
        <is>
          <t>JJ1XGO</t>
        </is>
      </c>
      <c r="H88" s="6" t="inlineStr">
        <is>
          <t>2026-06-09</t>
        </is>
      </c>
      <c r="I88" s="6" t="inlineStr">
        <is>
          <t>SRS</t>
        </is>
      </c>
      <c r="J88" s="6" t="inlineStr">
        <is>
          <t>SRS</t>
        </is>
      </c>
      <c r="K88" s="6" t="inlineStr">
        <is>
          <t>未対応</t>
        </is>
      </c>
      <c r="L88" s="6" t="inlineStr"/>
      <c r="M88" s="6" t="inlineStr"/>
      <c r="N88" s="6" t="inlineStr"/>
      <c r="O88" s="6" t="inlineStr"/>
      <c r="P88" s="6" t="inlineStr"/>
    </row>
    <row r="89" ht="40" customHeight="1">
      <c r="A89" s="7" t="inlineStr">
        <is>
          <t>ISSUE-088</t>
        </is>
      </c>
      <c r="B89" s="7" t="inlineStr">
        <is>
          <t>SRS FR-004 メッシュ結合解析のレビュー反映</t>
        </is>
      </c>
      <c r="C89" s="7" t="inlineStr">
        <is>
          <t>FR-004（メッシュ結合解析）のレビュー結果（観点 A〜J）を SRS / ADR-SRS-003 に反映する。
## レビュー観点リスト
| 観点 | 内容 | 重要度 |
|---|---|---|
| A | ADR-SRS-003 との矛盾: ADR「出力は中心メッシュ内のピークのみ」vs SRS「解析対象メッシュ全体の地理的範囲内のピークを出力」。SRS が正（analysis_count 最大9回・FR-008 重複排除と整合）。ADR の Decision を更新 | 高 |
| B | 入力テーブル不足: 「標高タイル（ローカルキャッシュ）」が FR-004 入力に無い（7.2 一覧・FR-002 入力と不整合）→ 追加 | 高 |
| C | 誤参照: 「安定性を評価する（FR-009 参照）」→ stability の定義・算出は FR-008 → 修正 | 中 |
| D | ピーク出力範囲（地理的範囲フィルタ＝フリンジ除外）の記述所在: FR-007 の責務だが FR-007 に記述なし → 整理 | 中 |
| E | FR-015 呼び出しがオーケストレーション記述から漏れ → タイミング含め明示 | 中 |
| F | 出力備考「解析対象メッシュ範囲情報を伴う」が未定義 → 定義明文化 | 中 |
| G | 結合画像範囲の曖昧さ: リスト外メッシュの NODATA 扱いと範囲定義（bounding box）を明文化 | 中 |
| H | 「全176メッシュ」ハードコード → 「メッシュコードリストの全メッシュ」表現に修正 | 低 |
| I | 入力備考: 1次メッシュコードリストに [7.1.1 参照] 付与 | 低 |
| J | オーケストレーション役割の明示 + per-mesh パイプライン処理フロー図追加（ISSUE-087 観点 L の FR-004 側作業を本 ISSUE に取り込み） | 高 |
## 運用合意（2026-06-11）
観点 A〜J は個別確認を省略し Fable 提案通りに一括修正。次回セッションで修正後の FR-004 を再レビューする（実質の verify）。ISSUE-075・ISSUE-087 への注記・verify は FR-004 と FR-014 両方のレビュー完了後に行う。</t>
        </is>
      </c>
      <c r="D89" s="7" t="inlineStr">
        <is>
          <t>改善</t>
        </is>
      </c>
      <c r="E89" s="4" t="inlineStr">
        <is>
          <t>中</t>
        </is>
      </c>
      <c r="F89" s="7" t="inlineStr">
        <is>
          <t>その他</t>
        </is>
      </c>
      <c r="G89" s="7" t="inlineStr">
        <is>
          <t>JJ1XGO</t>
        </is>
      </c>
      <c r="H89" s="7" t="inlineStr">
        <is>
          <t>2026-06-11</t>
        </is>
      </c>
      <c r="I89" s="7" t="inlineStr">
        <is>
          <t>SRS</t>
        </is>
      </c>
      <c r="J89" s="7" t="inlineStr">
        <is>
          <t>SRS</t>
        </is>
      </c>
      <c r="K89" s="7" t="inlineStr">
        <is>
          <t>対応完了</t>
        </is>
      </c>
      <c r="L89" s="7" t="inlineStr">
        <is>
          <t>Fable</t>
        </is>
      </c>
      <c r="M89" s="7" t="inlineStr">
        <is>
          <t>SRS FR-004 セクション・FR-007（観点 D）・ADR-SRS-003（観点 A）を修正し、処理フロー図を追加する</t>
        </is>
      </c>
      <c r="N89" s="7" t="inlineStr"/>
      <c r="O89" s="7" t="inlineStr">
        <is>
          <t>2026-06-11</t>
        </is>
      </c>
      <c r="P89" s="7" t="inlineStr"/>
    </row>
    <row r="90" ht="40" customHeight="1">
      <c r="A90" s="6" t="inlineStr">
        <is>
          <t>ISSUE-089</t>
        </is>
      </c>
      <c r="B90" s="6" t="inlineStr">
        <is>
          <t>SRS FR-004 第2回レビュー反映（タイトル・入力・解析識別子・異常系）</t>
        </is>
      </c>
      <c r="C90" s="6" t="inlineStr">
        <is>
          <t>FR-004 の第2回レビュー（ISSUE-088 の実質 verify）で確定した4件の修正を反映する。①タイトルを「3×3メッシュ結合解析オーケストレーション」に変更、②入力の1次メッシュコードリストを任意化（デフォルト=日本全土リスト）、③解析識別子（FR-004: 3-&lt;meshcode&gt;、FR-014: N-&lt;meshcode&gt;-&lt;corner&gt;）を導入してFR-007/FR-015/FR-016のファイル名を統一、④異常系をフェイルファーストに書き換え（タイルゼロ=処理中止+原因調査促し）。</t>
        </is>
      </c>
      <c r="D90" s="6" t="inlineStr"/>
      <c r="E90" s="4" t="inlineStr">
        <is>
          <t>中</t>
        </is>
      </c>
      <c r="F90" s="6" t="inlineStr">
        <is>
          <t>その他</t>
        </is>
      </c>
      <c r="G90" s="6" t="inlineStr"/>
      <c r="H90" s="6" t="inlineStr">
        <is>
          <t>2026-06-12</t>
        </is>
      </c>
      <c r="I90" s="6" t="inlineStr"/>
      <c r="J90" s="6" t="inlineStr"/>
      <c r="K90" s="6" t="inlineStr">
        <is>
          <t>対応完了</t>
        </is>
      </c>
      <c r="L90" s="6" t="inlineStr"/>
      <c r="M90" s="6" t="inlineStr"/>
      <c r="N90" s="6" t="inlineStr"/>
      <c r="O90" s="6" t="inlineStr">
        <is>
          <t>2026-06-12</t>
        </is>
      </c>
      <c r="P90" s="6" t="inlineStr"/>
    </row>
  </sheetData>
  <dataValidations count="5">
    <dataValidation sqref="K2:K90" showDropDown="0" showInputMessage="0" showErrorMessage="0" allowBlank="1" type="list">
      <formula1>"未対応,対応中,対応完了,解決済,却下"</formula1>
    </dataValidation>
    <dataValidation sqref="E2:E90" showDropDown="0" showInputMessage="0" showErrorMessage="0" allowBlank="1" type="list">
      <formula1>"高,中,低"</formula1>
    </dataValidation>
    <dataValidation sqref="D2:D90" showDropDown="0" showInputMessage="0" showErrorMessage="0" allowBlank="1" type="list">
      <formula1>"機能追加,改善,調査,設計"</formula1>
    </dataValidation>
    <dataValidation sqref="I2:I90" showDropDown="0" showInputMessage="0" showErrorMessage="0" allowBlank="1" type="list">
      <formula1>"URD,SRS,HLD,LLD,COD,UT,IT,ST,OPS"</formula1>
    </dataValidation>
    <dataValidation sqref="J2:J90" showDropDown="0" showInputMessage="0" showErrorMessage="0" allowBlank="1" type="list">
      <formula1>"URD,SRS,HLD,LLD,COD,UT,IT,ST,OPS"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2" customWidth="1" min="1" max="1"/>
    <col width="12" customWidth="1" min="2" max="2"/>
  </cols>
  <sheetData>
    <row r="1">
      <c r="A1" s="8" t="inlineStr">
        <is>
          <t>KPI</t>
        </is>
      </c>
      <c r="B1" s="9" t="n"/>
    </row>
    <row r="2">
      <c r="A2" s="10" t="inlineStr">
        <is>
          <t>合計件数</t>
        </is>
      </c>
      <c r="B2" s="11" t="n">
        <v>89</v>
      </c>
    </row>
    <row r="3">
      <c r="A3" s="10" t="inlineStr">
        <is>
          <t>未解決件数</t>
        </is>
      </c>
      <c r="B3" s="11" t="n">
        <v>30</v>
      </c>
    </row>
    <row r="4">
      <c r="A4" s="10" t="inlineStr">
        <is>
          <t>解決済件数</t>
        </is>
      </c>
      <c r="B4" s="11" t="n">
        <v>42</v>
      </c>
    </row>
    <row r="5">
      <c r="A5" s="10" t="inlineStr">
        <is>
          <t>解決率</t>
        </is>
      </c>
      <c r="B5" s="11" t="inlineStr">
        <is>
          <t>47.2%</t>
        </is>
      </c>
    </row>
    <row r="7">
      <c r="A7" s="8" t="inlineStr">
        <is>
          <t>ステータス別</t>
        </is>
      </c>
      <c r="B7" s="9" t="n"/>
    </row>
    <row r="8">
      <c r="A8" s="10" t="inlineStr">
        <is>
          <t>未対応</t>
        </is>
      </c>
      <c r="B8" s="11" t="n">
        <v>27</v>
      </c>
    </row>
    <row r="9">
      <c r="A9" s="10" t="inlineStr">
        <is>
          <t>対応中</t>
        </is>
      </c>
      <c r="B9" s="11" t="n">
        <v>0</v>
      </c>
    </row>
    <row r="10">
      <c r="A10" s="10" t="inlineStr">
        <is>
          <t>対応完了</t>
        </is>
      </c>
      <c r="B10" s="11" t="n">
        <v>3</v>
      </c>
    </row>
    <row r="11">
      <c r="A11" s="10" t="inlineStr">
        <is>
          <t>解決済</t>
        </is>
      </c>
      <c r="B11" s="11" t="n">
        <v>42</v>
      </c>
    </row>
    <row r="12">
      <c r="A12" s="10" t="inlineStr">
        <is>
          <t>却下</t>
        </is>
      </c>
      <c r="B12" s="11" t="n">
        <v>17</v>
      </c>
    </row>
    <row r="14">
      <c r="A14" s="8" t="inlineStr">
        <is>
          <t>優先度別（未解決）</t>
        </is>
      </c>
      <c r="B14" s="9" t="n"/>
    </row>
    <row r="15">
      <c r="A15" s="10" t="inlineStr">
        <is>
          <t>高</t>
        </is>
      </c>
      <c r="B15" s="11" t="n">
        <v>11</v>
      </c>
    </row>
    <row r="16">
      <c r="A16" s="10" t="inlineStr">
        <is>
          <t>中</t>
        </is>
      </c>
      <c r="B16" s="11" t="n">
        <v>12</v>
      </c>
    </row>
    <row r="17">
      <c r="A17" s="10" t="inlineStr">
        <is>
          <t>低</t>
        </is>
      </c>
      <c r="B17" s="11" t="n">
        <v>7</v>
      </c>
    </row>
    <row r="19">
      <c r="A19" s="8" t="inlineStr">
        <is>
          <t>種別別（未解決）</t>
        </is>
      </c>
      <c r="B19" s="9" t="n"/>
    </row>
    <row r="20">
      <c r="A20" s="10" t="inlineStr">
        <is>
          <t>機能追加</t>
        </is>
      </c>
      <c r="B20" s="11" t="n">
        <v>9</v>
      </c>
    </row>
    <row r="21">
      <c r="A21" s="10" t="inlineStr">
        <is>
          <t>改善</t>
        </is>
      </c>
      <c r="B21" s="11" t="n">
        <v>18</v>
      </c>
    </row>
    <row r="22">
      <c r="A22" s="10" t="inlineStr">
        <is>
          <t>調査</t>
        </is>
      </c>
      <c r="B22" s="11" t="n">
        <v>1</v>
      </c>
    </row>
    <row r="23">
      <c r="A23" s="10" t="inlineStr">
        <is>
          <t>設計</t>
        </is>
      </c>
      <c r="B23" s="11" t="n">
        <v>1</v>
      </c>
    </row>
    <row r="25">
      <c r="A25" s="8" t="inlineStr">
        <is>
          <t>カテゴリ別（未解決）</t>
        </is>
      </c>
      <c r="B25" s="9" t="n"/>
    </row>
    <row r="26">
      <c r="A26" s="10" t="inlineStr">
        <is>
          <t>解析エンジン</t>
        </is>
      </c>
      <c r="B26" s="11" t="n">
        <v>4</v>
      </c>
    </row>
    <row r="27">
      <c r="A27" s="10" t="inlineStr">
        <is>
          <t>merge.py</t>
        </is>
      </c>
      <c r="B27" s="11" t="n">
        <v>2</v>
      </c>
    </row>
    <row r="28">
      <c r="A28" s="10" t="inlineStr">
        <is>
          <t>GeoJSON出力</t>
        </is>
      </c>
      <c r="B28" s="11" t="n">
        <v>3</v>
      </c>
    </row>
    <row r="29">
      <c r="A29" s="10" t="inlineStr">
        <is>
          <t>その他</t>
        </is>
      </c>
      <c r="B29" s="11" t="n">
        <v>6</v>
      </c>
    </row>
    <row r="31">
      <c r="A31" s="8" t="inlineStr">
        <is>
          <t>ステージ別（未解決）</t>
        </is>
      </c>
      <c r="B31" s="9" t="n"/>
    </row>
    <row r="32">
      <c r="A32" s="10" t="inlineStr">
        <is>
          <t>SRS</t>
        </is>
      </c>
      <c r="B32" s="11" t="n">
        <v>26</v>
      </c>
    </row>
    <row r="33">
      <c r="A33" s="10" t="inlineStr">
        <is>
          <t>HLD</t>
        </is>
      </c>
      <c r="B33" s="11" t="n">
        <v>1</v>
      </c>
    </row>
    <row r="34">
      <c r="A34" s="10" t="inlineStr">
        <is>
          <t>COD</t>
        </is>
      </c>
      <c r="B34" s="1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s>
  <sheetData>
    <row r="1">
      <c r="A1" s="1" t="inlineStr">
        <is>
          <t>日付</t>
        </is>
      </c>
      <c r="B1" s="1" t="inlineStr">
        <is>
          <t>累計登録</t>
        </is>
      </c>
      <c r="C1" s="1" t="inlineStr">
        <is>
          <t>対応累計</t>
        </is>
      </c>
      <c r="D1" s="1" t="inlineStr">
        <is>
          <t>確認累計</t>
        </is>
      </c>
    </row>
    <row r="2">
      <c r="A2" t="inlineStr">
        <is>
          <t>2026-04-27</t>
        </is>
      </c>
      <c r="B2" t="n">
        <v>9</v>
      </c>
      <c r="C2" t="n">
        <v>2</v>
      </c>
      <c r="D2" t="n">
        <v>1</v>
      </c>
    </row>
    <row r="3">
      <c r="A3" t="inlineStr">
        <is>
          <t>2026-04-28</t>
        </is>
      </c>
      <c r="B3" t="n">
        <v>11</v>
      </c>
      <c r="C3" t="n">
        <v>3</v>
      </c>
      <c r="D3" t="n">
        <v>1</v>
      </c>
    </row>
    <row r="4">
      <c r="A4" t="inlineStr">
        <is>
          <t>2026-04-29</t>
        </is>
      </c>
      <c r="B4" t="n">
        <v>11</v>
      </c>
      <c r="C4" t="n">
        <v>3</v>
      </c>
      <c r="D4" t="n">
        <v>1</v>
      </c>
    </row>
    <row r="5">
      <c r="A5" t="inlineStr">
        <is>
          <t>2026-04-30</t>
        </is>
      </c>
      <c r="B5" t="n">
        <v>11</v>
      </c>
      <c r="C5" t="n">
        <v>3</v>
      </c>
      <c r="D5" t="n">
        <v>1</v>
      </c>
    </row>
    <row r="6">
      <c r="A6" t="inlineStr">
        <is>
          <t>2026-05-01</t>
        </is>
      </c>
      <c r="B6" t="n">
        <v>11</v>
      </c>
      <c r="C6" t="n">
        <v>3</v>
      </c>
      <c r="D6" t="n">
        <v>1</v>
      </c>
    </row>
    <row r="7">
      <c r="A7" t="inlineStr">
        <is>
          <t>2026-05-02</t>
        </is>
      </c>
      <c r="B7" t="n">
        <v>11</v>
      </c>
      <c r="C7" t="n">
        <v>3</v>
      </c>
      <c r="D7" t="n">
        <v>1</v>
      </c>
    </row>
    <row r="8">
      <c r="A8" t="inlineStr">
        <is>
          <t>2026-05-03</t>
        </is>
      </c>
      <c r="B8" t="n">
        <v>11</v>
      </c>
      <c r="C8" t="n">
        <v>3</v>
      </c>
      <c r="D8" t="n">
        <v>1</v>
      </c>
    </row>
    <row r="9">
      <c r="A9" t="inlineStr">
        <is>
          <t>2026-05-04</t>
        </is>
      </c>
      <c r="B9" t="n">
        <v>11</v>
      </c>
      <c r="C9" t="n">
        <v>3</v>
      </c>
      <c r="D9" t="n">
        <v>1</v>
      </c>
    </row>
    <row r="10">
      <c r="A10" t="inlineStr">
        <is>
          <t>2026-05-05</t>
        </is>
      </c>
      <c r="B10" t="n">
        <v>11</v>
      </c>
      <c r="C10" t="n">
        <v>3</v>
      </c>
      <c r="D10" t="n">
        <v>1</v>
      </c>
    </row>
    <row r="11">
      <c r="A11" t="inlineStr">
        <is>
          <t>2026-05-06</t>
        </is>
      </c>
      <c r="B11" t="n">
        <v>11</v>
      </c>
      <c r="C11" t="n">
        <v>3</v>
      </c>
      <c r="D11" t="n">
        <v>1</v>
      </c>
    </row>
    <row r="12">
      <c r="A12" t="inlineStr">
        <is>
          <t>2026-05-07</t>
        </is>
      </c>
      <c r="B12" t="n">
        <v>11</v>
      </c>
      <c r="C12" t="n">
        <v>3</v>
      </c>
      <c r="D12" t="n">
        <v>1</v>
      </c>
    </row>
    <row r="13">
      <c r="A13" t="inlineStr">
        <is>
          <t>2026-05-08</t>
        </is>
      </c>
      <c r="B13" t="n">
        <v>13</v>
      </c>
      <c r="C13" t="n">
        <v>3</v>
      </c>
      <c r="D13" t="n">
        <v>1</v>
      </c>
    </row>
    <row r="14">
      <c r="A14" t="inlineStr">
        <is>
          <t>2026-05-09</t>
        </is>
      </c>
      <c r="B14" t="n">
        <v>17</v>
      </c>
      <c r="C14" t="n">
        <v>4</v>
      </c>
      <c r="D14" t="n">
        <v>1</v>
      </c>
    </row>
    <row r="15">
      <c r="A15" t="inlineStr">
        <is>
          <t>2026-05-10</t>
        </is>
      </c>
      <c r="B15" t="n">
        <v>17</v>
      </c>
      <c r="C15" t="n">
        <v>6</v>
      </c>
      <c r="D15" t="n">
        <v>1</v>
      </c>
    </row>
    <row r="16">
      <c r="A16" t="inlineStr">
        <is>
          <t>2026-05-11</t>
        </is>
      </c>
      <c r="B16" t="n">
        <v>17</v>
      </c>
      <c r="C16" t="n">
        <v>6</v>
      </c>
      <c r="D16" t="n">
        <v>1</v>
      </c>
    </row>
    <row r="17">
      <c r="A17" t="inlineStr">
        <is>
          <t>2026-05-12</t>
        </is>
      </c>
      <c r="B17" t="n">
        <v>17</v>
      </c>
      <c r="C17" t="n">
        <v>6</v>
      </c>
      <c r="D17" t="n">
        <v>1</v>
      </c>
    </row>
    <row r="18">
      <c r="A18" t="inlineStr">
        <is>
          <t>2026-05-13</t>
        </is>
      </c>
      <c r="B18" t="n">
        <v>17</v>
      </c>
      <c r="C18" t="n">
        <v>7</v>
      </c>
      <c r="D18" t="n">
        <v>1</v>
      </c>
    </row>
    <row r="19">
      <c r="A19" t="inlineStr">
        <is>
          <t>2026-05-14</t>
        </is>
      </c>
      <c r="B19" t="n">
        <v>32</v>
      </c>
      <c r="C19" t="n">
        <v>7</v>
      </c>
      <c r="D19" t="n">
        <v>1</v>
      </c>
    </row>
    <row r="20">
      <c r="A20" t="inlineStr">
        <is>
          <t>2026-05-15</t>
        </is>
      </c>
      <c r="B20" t="n">
        <v>32</v>
      </c>
      <c r="C20" t="n">
        <v>7</v>
      </c>
      <c r="D20" t="n">
        <v>1</v>
      </c>
    </row>
    <row r="21">
      <c r="A21" t="inlineStr">
        <is>
          <t>2026-05-16</t>
        </is>
      </c>
      <c r="B21" t="n">
        <v>32</v>
      </c>
      <c r="C21" t="n">
        <v>8</v>
      </c>
      <c r="D21" t="n">
        <v>1</v>
      </c>
    </row>
    <row r="22">
      <c r="A22" t="inlineStr">
        <is>
          <t>2026-05-17</t>
        </is>
      </c>
      <c r="B22" t="n">
        <v>40</v>
      </c>
      <c r="C22" t="n">
        <v>14</v>
      </c>
      <c r="D22" t="n">
        <v>13</v>
      </c>
    </row>
    <row r="23">
      <c r="A23" t="inlineStr">
        <is>
          <t>2026-05-18</t>
        </is>
      </c>
      <c r="B23" t="n">
        <v>40</v>
      </c>
      <c r="C23" t="n">
        <v>16</v>
      </c>
      <c r="D23" t="n">
        <v>13</v>
      </c>
    </row>
    <row r="24">
      <c r="A24" t="inlineStr">
        <is>
          <t>2026-05-19</t>
        </is>
      </c>
      <c r="B24" t="n">
        <v>41</v>
      </c>
      <c r="C24" t="n">
        <v>16</v>
      </c>
      <c r="D24" t="n">
        <v>14</v>
      </c>
    </row>
    <row r="25">
      <c r="A25" t="inlineStr">
        <is>
          <t>2026-05-20</t>
        </is>
      </c>
      <c r="B25" t="n">
        <v>42</v>
      </c>
      <c r="C25" t="n">
        <v>17</v>
      </c>
      <c r="D25" t="n">
        <v>17</v>
      </c>
    </row>
    <row r="26">
      <c r="A26" t="inlineStr">
        <is>
          <t>2026-05-21</t>
        </is>
      </c>
      <c r="B26" t="n">
        <v>45</v>
      </c>
      <c r="C26" t="n">
        <v>18</v>
      </c>
      <c r="D26" t="n">
        <v>17</v>
      </c>
    </row>
    <row r="27">
      <c r="A27" t="inlineStr">
        <is>
          <t>2026-05-22</t>
        </is>
      </c>
      <c r="B27" t="n">
        <v>50</v>
      </c>
      <c r="C27" t="n">
        <v>23</v>
      </c>
      <c r="D27" t="n">
        <v>23</v>
      </c>
    </row>
    <row r="28">
      <c r="A28" t="inlineStr">
        <is>
          <t>2026-05-23</t>
        </is>
      </c>
      <c r="B28" t="n">
        <v>53</v>
      </c>
      <c r="C28" t="n">
        <v>33</v>
      </c>
      <c r="D28" t="n">
        <v>35</v>
      </c>
    </row>
    <row r="29">
      <c r="A29" t="inlineStr">
        <is>
          <t>2026-05-24</t>
        </is>
      </c>
      <c r="B29" t="n">
        <v>55</v>
      </c>
      <c r="C29" t="n">
        <v>35</v>
      </c>
      <c r="D29" t="n">
        <v>37</v>
      </c>
    </row>
    <row r="30">
      <c r="A30" t="inlineStr">
        <is>
          <t>2026-05-25</t>
        </is>
      </c>
      <c r="B30" t="n">
        <v>56</v>
      </c>
      <c r="C30" t="n">
        <v>35</v>
      </c>
      <c r="D30" t="n">
        <v>37</v>
      </c>
    </row>
    <row r="31">
      <c r="A31" t="inlineStr">
        <is>
          <t>2026-05-26</t>
        </is>
      </c>
      <c r="B31" t="n">
        <v>56</v>
      </c>
      <c r="C31" t="n">
        <v>35</v>
      </c>
      <c r="D31" t="n">
        <v>37</v>
      </c>
    </row>
    <row r="32">
      <c r="A32" t="inlineStr">
        <is>
          <t>2026-05-27</t>
        </is>
      </c>
      <c r="B32" t="n">
        <v>56</v>
      </c>
      <c r="C32" t="n">
        <v>35</v>
      </c>
      <c r="D32" t="n">
        <v>37</v>
      </c>
    </row>
    <row r="33">
      <c r="A33" t="inlineStr">
        <is>
          <t>2026-05-28</t>
        </is>
      </c>
      <c r="B33" t="n">
        <v>56</v>
      </c>
      <c r="C33" t="n">
        <v>36</v>
      </c>
      <c r="D33" t="n">
        <v>38</v>
      </c>
    </row>
    <row r="34">
      <c r="A34" t="inlineStr">
        <is>
          <t>2026-05-29</t>
        </is>
      </c>
      <c r="B34" t="n">
        <v>62</v>
      </c>
      <c r="C34" t="n">
        <v>39</v>
      </c>
      <c r="D34" t="n">
        <v>41</v>
      </c>
    </row>
    <row r="35">
      <c r="A35" t="inlineStr">
        <is>
          <t>2026-05-30</t>
        </is>
      </c>
      <c r="B35" t="n">
        <v>62</v>
      </c>
      <c r="C35" t="n">
        <v>39</v>
      </c>
      <c r="D35" t="n">
        <v>41</v>
      </c>
    </row>
    <row r="36">
      <c r="A36" t="inlineStr">
        <is>
          <t>2026-05-31</t>
        </is>
      </c>
      <c r="B36" t="n">
        <v>68</v>
      </c>
      <c r="C36" t="n">
        <v>41</v>
      </c>
      <c r="D36" t="n">
        <v>43</v>
      </c>
    </row>
    <row r="37">
      <c r="A37" t="inlineStr">
        <is>
          <t>2026-06-01</t>
        </is>
      </c>
      <c r="B37" t="n">
        <v>69</v>
      </c>
      <c r="C37" t="n">
        <v>42</v>
      </c>
      <c r="D37" t="n">
        <v>44</v>
      </c>
    </row>
    <row r="38">
      <c r="A38" t="inlineStr">
        <is>
          <t>2026-06-02</t>
        </is>
      </c>
      <c r="B38" t="n">
        <v>73</v>
      </c>
      <c r="C38" t="n">
        <v>42</v>
      </c>
      <c r="D38" t="n">
        <v>44</v>
      </c>
    </row>
    <row r="39">
      <c r="A39" t="inlineStr">
        <is>
          <t>2026-06-03</t>
        </is>
      </c>
      <c r="B39" t="n">
        <v>73</v>
      </c>
      <c r="C39" t="n">
        <v>42</v>
      </c>
      <c r="D39" t="n">
        <v>44</v>
      </c>
    </row>
    <row r="40">
      <c r="A40" t="inlineStr">
        <is>
          <t>2026-06-04</t>
        </is>
      </c>
      <c r="B40" t="n">
        <v>76</v>
      </c>
      <c r="C40" t="n">
        <v>42</v>
      </c>
      <c r="D40" t="n">
        <v>44</v>
      </c>
    </row>
    <row r="41">
      <c r="A41" t="inlineStr">
        <is>
          <t>2026-06-05</t>
        </is>
      </c>
      <c r="B41" t="n">
        <v>79</v>
      </c>
      <c r="C41" t="n">
        <v>43</v>
      </c>
      <c r="D41" t="n">
        <v>46</v>
      </c>
    </row>
    <row r="42">
      <c r="A42" t="inlineStr">
        <is>
          <t>2026-06-06</t>
        </is>
      </c>
      <c r="B42" t="n">
        <v>80</v>
      </c>
      <c r="C42" t="n">
        <v>44</v>
      </c>
      <c r="D42" t="n">
        <v>47</v>
      </c>
    </row>
    <row r="43">
      <c r="A43" t="inlineStr">
        <is>
          <t>2026-06-07</t>
        </is>
      </c>
      <c r="B43" t="n">
        <v>81</v>
      </c>
      <c r="C43" t="n">
        <v>45</v>
      </c>
      <c r="D43" t="n">
        <v>59</v>
      </c>
    </row>
    <row r="44">
      <c r="A44" t="inlineStr">
        <is>
          <t>2026-06-08</t>
        </is>
      </c>
      <c r="B44" t="n">
        <v>86</v>
      </c>
      <c r="C44" t="n">
        <v>45</v>
      </c>
      <c r="D44" t="n">
        <v>59</v>
      </c>
    </row>
    <row r="45">
      <c r="A45" t="inlineStr">
        <is>
          <t>2026-06-09</t>
        </is>
      </c>
      <c r="B45" t="n">
        <v>87</v>
      </c>
      <c r="C45" t="n">
        <v>46</v>
      </c>
      <c r="D45" t="n">
        <v>59</v>
      </c>
    </row>
    <row r="46">
      <c r="A46" t="inlineStr">
        <is>
          <t>2026-06-10</t>
        </is>
      </c>
      <c r="B46" t="n">
        <v>87</v>
      </c>
      <c r="C46" t="n">
        <v>46</v>
      </c>
      <c r="D46" t="n">
        <v>59</v>
      </c>
    </row>
    <row r="47">
      <c r="A47" t="inlineStr">
        <is>
          <t>2026-06-11</t>
        </is>
      </c>
      <c r="B47" t="n">
        <v>88</v>
      </c>
      <c r="C47" t="n">
        <v>47</v>
      </c>
      <c r="D47" t="n">
        <v>59</v>
      </c>
    </row>
    <row r="48">
      <c r="A48" t="inlineStr">
        <is>
          <t>2026-06-12</t>
        </is>
      </c>
      <c r="B48" t="n">
        <v>89</v>
      </c>
      <c r="C48" t="n">
        <v>48</v>
      </c>
      <c r="D48" t="n">
        <v>59</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2026-06-12T00:56:50Z</dcterms:created>
  <dcterms:modified xsi:type="dcterms:W3CDTF">2026-06-12T00:56:50Z</dcterms:modified>
</cp:coreProperties>
</file>