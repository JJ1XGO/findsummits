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'収束グラフ'!$A$2:$A$51</f>
            </strRef>
          </cat>
          <val>
            <numRef>
              <f>'収束グラフ'!$B$2:$B$51</f>
            </numRef>
          </val>
        </ser>
        <ser>
          <idx val="1"/>
          <order val="1"/>
          <tx>
            <strRef>
              <f>'収束グラフ'!C1</f>
            </strRef>
          </tx>
          <spPr>
            <a:ln w="20000">
              <a:solidFill>
                <a:srgbClr val="4472C4"/>
              </a:solidFill>
              <a:prstDash val="solid"/>
            </a:ln>
          </spPr>
          <marker>
            <symbol val="none"/>
            <spPr>
              <a:ln>
                <a:prstDash val="solid"/>
              </a:ln>
            </spPr>
          </marker>
          <cat>
            <strRef>
              <f>'収束グラフ'!$A$2:$A$51</f>
            </strRef>
          </cat>
          <val>
            <numRef>
              <f>'収束グラフ'!$C$2:$C$51</f>
            </numRef>
          </val>
        </ser>
        <ser>
          <idx val="2"/>
          <order val="2"/>
          <tx>
            <strRef>
              <f>'収束グラフ'!D1</f>
            </strRef>
          </tx>
          <spPr>
            <a:ln w="20000">
              <a:solidFill>
                <a:srgbClr val="70AD47"/>
              </a:solidFill>
              <a:prstDash val="solid"/>
            </a:ln>
          </spPr>
          <marker>
            <symbol val="none"/>
            <spPr>
              <a:ln>
                <a:prstDash val="solid"/>
              </a:ln>
            </spPr>
          </marker>
          <cat>
            <strRef>
              <f>'収束グラフ'!$A$2:$A$51</f>
            </strRef>
          </cat>
          <val>
            <numRef>
              <f>'収束グラフ'!$D$2:$D$51</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7" t="inlineStr">
        <is>
          <t>ISSUE-094</t>
        </is>
      </c>
      <c r="B95" s="7" t="inlineStr">
        <is>
          <t>FR-005/006/007/016: ピーク↔コル紐付けモデルを per-peak 対応レコードへ一本化</t>
        </is>
      </c>
      <c r="C95" s="7"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7" t="inlineStr">
        <is>
          <t>改善</t>
        </is>
      </c>
      <c r="E95" s="3" t="inlineStr">
        <is>
          <t>高</t>
        </is>
      </c>
      <c r="F95" s="7" t="inlineStr"/>
      <c r="G95" s="7" t="inlineStr">
        <is>
          <t>Opus</t>
        </is>
      </c>
      <c r="H95" s="7" t="inlineStr">
        <is>
          <t>2026-06-14</t>
        </is>
      </c>
      <c r="I95" s="7" t="inlineStr">
        <is>
          <t>SRS</t>
        </is>
      </c>
      <c r="J95" s="7" t="inlineStr"/>
      <c r="K95" s="7" t="inlineStr">
        <is>
          <t>対応完了</t>
        </is>
      </c>
      <c r="L95" s="7" t="inlineStr">
        <is>
          <t>Opus</t>
        </is>
      </c>
      <c r="M95" s="7" t="inlineStr"/>
      <c r="N95" s="7" t="inlineStr"/>
      <c r="O95" s="7" t="inlineStr">
        <is>
          <t>2026-06-14</t>
        </is>
      </c>
      <c r="P95" s="7" t="inlineStr"/>
    </row>
    <row r="96" ht="40" customHeight="1">
      <c r="A96" s="6" t="inlineStr">
        <is>
          <t>ISSUE-095</t>
        </is>
      </c>
      <c r="B96" s="6" t="inlineStr">
        <is>
          <t>FR-006: コル確定/未確定の判定基準（境界辺接触 topology）と未確定行の値定義</t>
        </is>
      </c>
      <c r="C96" s="6"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6" t="inlineStr">
        <is>
          <t>改善</t>
        </is>
      </c>
      <c r="E96" s="3" t="inlineStr">
        <is>
          <t>高</t>
        </is>
      </c>
      <c r="F96" s="6" t="inlineStr"/>
      <c r="G96" s="6" t="inlineStr">
        <is>
          <t>Opus</t>
        </is>
      </c>
      <c r="H96" s="6" t="inlineStr">
        <is>
          <t>2026-06-14</t>
        </is>
      </c>
      <c r="I96" s="6" t="inlineStr">
        <is>
          <t>SRS</t>
        </is>
      </c>
      <c r="J96" s="6" t="inlineStr"/>
      <c r="K96" s="6" t="inlineStr">
        <is>
          <t>対応完了</t>
        </is>
      </c>
      <c r="L96" s="6" t="inlineStr">
        <is>
          <t>Opus</t>
        </is>
      </c>
      <c r="M96" s="6" t="inlineStr"/>
      <c r="N96" s="6" t="inlineStr"/>
      <c r="O96" s="6" t="inlineStr">
        <is>
          <t>2026-06-14</t>
        </is>
      </c>
      <c r="P96" s="6" t="inlineStr"/>
    </row>
    <row r="97" ht="40" customHeight="1">
      <c r="A97" s="7" t="inlineStr">
        <is>
          <t>ISSUE-096</t>
        </is>
      </c>
      <c r="B97" s="7" t="inlineStr">
        <is>
          <t>FR-007: col_margin_px の位置づけ確定（診断・将来用）と 629行誤記述の訂正</t>
        </is>
      </c>
      <c r="C97" s="7"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7" t="inlineStr">
        <is>
          <t>改善</t>
        </is>
      </c>
      <c r="E97" s="4" t="inlineStr">
        <is>
          <t>中</t>
        </is>
      </c>
      <c r="F97" s="7" t="inlineStr"/>
      <c r="G97" s="7" t="inlineStr">
        <is>
          <t>Opus</t>
        </is>
      </c>
      <c r="H97" s="7" t="inlineStr">
        <is>
          <t>2026-06-14</t>
        </is>
      </c>
      <c r="I97" s="7" t="inlineStr">
        <is>
          <t>SRS</t>
        </is>
      </c>
      <c r="J97" s="7" t="inlineStr"/>
      <c r="K97" s="7" t="inlineStr">
        <is>
          <t>対応完了</t>
        </is>
      </c>
      <c r="L97" s="7" t="inlineStr">
        <is>
          <t>Opus</t>
        </is>
      </c>
      <c r="M97" s="7" t="inlineStr"/>
      <c r="N97" s="7" t="inlineStr"/>
      <c r="O97" s="7" t="inlineStr">
        <is>
          <t>2026-06-14</t>
        </is>
      </c>
      <c r="P97" s="7" t="inlineStr"/>
    </row>
    <row r="98" ht="40" customHeight="1">
      <c r="A98" s="6" t="inlineStr">
        <is>
          <t>ISSUE-098</t>
        </is>
      </c>
      <c r="B98" s="6" t="inlineStr">
        <is>
          <t>FR-007 一次フィルタの key_col_resolved=false 適用未定義</t>
        </is>
      </c>
      <c r="C98" s="6"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6" t="inlineStr">
        <is>
          <t>設計</t>
        </is>
      </c>
      <c r="E98" s="3" t="inlineStr">
        <is>
          <t>高</t>
        </is>
      </c>
      <c r="F98" s="6" t="inlineStr"/>
      <c r="G98" s="6" t="inlineStr">
        <is>
          <t>Sonnet</t>
        </is>
      </c>
      <c r="H98" s="6" t="inlineStr">
        <is>
          <t>2026-06-15</t>
        </is>
      </c>
      <c r="I98" s="6" t="inlineStr">
        <is>
          <t>SRS</t>
        </is>
      </c>
      <c r="J98" s="6" t="inlineStr"/>
      <c r="K98" s="6" t="inlineStr">
        <is>
          <t>対応完了</t>
        </is>
      </c>
      <c r="L98" s="6" t="inlineStr"/>
      <c r="M98" s="6" t="inlineStr">
        <is>
          <t>key_col_resolved=false 行はフィルタを適用せず無条件出力。一次フィルタは key_col_resolved=true（prominence確定済み）行にのみ適用。SRS FR-007 説明・概要に明記する。</t>
        </is>
      </c>
      <c r="N98" s="6" t="inlineStr"/>
      <c r="O98" s="6" t="inlineStr">
        <is>
          <t>2026-06-15</t>
        </is>
      </c>
      <c r="P98" s="6" t="inlineStr"/>
    </row>
    <row r="99" ht="40" customHeight="1">
      <c r="A99" s="7" t="inlineStr">
        <is>
          <t>ISSUE-099</t>
        </is>
      </c>
      <c r="B99" s="7" t="inlineStr">
        <is>
          <t>FR-007 per-mesh CSV カラム設計整理（analysis_id 集約・points 除外）</t>
        </is>
      </c>
      <c r="C99" s="7"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7" t="inlineStr">
        <is>
          <t>設計</t>
        </is>
      </c>
      <c r="E99" s="3" t="inlineStr">
        <is>
          <t>高</t>
        </is>
      </c>
      <c r="F99" s="7" t="inlineStr"/>
      <c r="G99" s="7" t="inlineStr">
        <is>
          <t>Sonnet</t>
        </is>
      </c>
      <c r="H99" s="7" t="inlineStr">
        <is>
          <t>2026-06-15</t>
        </is>
      </c>
      <c r="I99" s="7" t="inlineStr">
        <is>
          <t>SRS</t>
        </is>
      </c>
      <c r="J99" s="7" t="inlineStr"/>
      <c r="K99" s="7" t="inlineStr">
        <is>
          <t>対応完了</t>
        </is>
      </c>
      <c r="L99" s="7" t="inlineStr"/>
      <c r="M99" s="7" t="inlineStr">
        <is>
          <t>center_mesh + zoom_level を廃止し analysis_id（解析識別子: 3-5239 / 4-5239-NW）1列に集約。points を FR-007 出力から削除し消費段（FR-009/出力生成）で peak_elev から算出する。ADR-SRS-021 として記録。</t>
        </is>
      </c>
      <c r="N99" s="7" t="inlineStr"/>
      <c r="O99" s="7" t="inlineStr">
        <is>
          <t>2026-06-15</t>
        </is>
      </c>
      <c r="P99" s="7" t="inlineStr"/>
    </row>
  </sheetData>
  <dataValidations count="5">
    <dataValidation sqref="K2:K99" showDropDown="0" showInputMessage="0" showErrorMessage="0" allowBlank="1" type="list">
      <formula1>"未対応,対応中,対応完了,解決済,却下"</formula1>
    </dataValidation>
    <dataValidation sqref="E2:E99" showDropDown="0" showInputMessage="0" showErrorMessage="0" allowBlank="1" type="list">
      <formula1>"高,中,低"</formula1>
    </dataValidation>
    <dataValidation sqref="D2:D99" showDropDown="0" showInputMessage="0" showErrorMessage="0" allowBlank="1" type="list">
      <formula1>"機能追加,改善,調査,設計"</formula1>
    </dataValidation>
    <dataValidation sqref="I2:I99" showDropDown="0" showInputMessage="0" showErrorMessage="0" allowBlank="1" type="list">
      <formula1>"URD,SRS,HLD,LLD,COD,UT,IT,ST,OPS"</formula1>
    </dataValidation>
    <dataValidation sqref="J2:J99"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98</v>
      </c>
    </row>
    <row r="3">
      <c r="A3" s="10" t="inlineStr">
        <is>
          <t>未解決件数</t>
        </is>
      </c>
      <c r="B3" s="11" t="n">
        <v>27</v>
      </c>
    </row>
    <row r="4">
      <c r="A4" s="10" t="inlineStr">
        <is>
          <t>解決済件数</t>
        </is>
      </c>
      <c r="B4" s="11" t="n">
        <v>54</v>
      </c>
    </row>
    <row r="5">
      <c r="A5" s="10" t="inlineStr">
        <is>
          <t>解決率</t>
        </is>
      </c>
      <c r="B5" s="11" t="inlineStr">
        <is>
          <t>55.1%</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5</v>
      </c>
    </row>
    <row r="11">
      <c r="A11" s="10" t="inlineStr">
        <is>
          <t>解決済</t>
        </is>
      </c>
      <c r="B11" s="11" t="n">
        <v>54</v>
      </c>
    </row>
    <row r="12">
      <c r="A12" s="10" t="inlineStr">
        <is>
          <t>却下</t>
        </is>
      </c>
      <c r="B12" s="11" t="n">
        <v>17</v>
      </c>
    </row>
    <row r="14">
      <c r="A14" s="8" t="inlineStr">
        <is>
          <t>優先度別（未解決）</t>
        </is>
      </c>
      <c r="B14" s="9" t="n"/>
    </row>
    <row r="15">
      <c r="A15" s="10" t="inlineStr">
        <is>
          <t>高</t>
        </is>
      </c>
      <c r="B15" s="11" t="n">
        <v>15</v>
      </c>
    </row>
    <row r="16">
      <c r="A16" s="10" t="inlineStr">
        <is>
          <t>中</t>
        </is>
      </c>
      <c r="B16" s="11" t="n">
        <v>9</v>
      </c>
    </row>
    <row r="17">
      <c r="A17" s="10" t="inlineStr">
        <is>
          <t>低</t>
        </is>
      </c>
      <c r="B17" s="11" t="n">
        <v>3</v>
      </c>
    </row>
    <row r="19">
      <c r="A19" s="8" t="inlineStr">
        <is>
          <t>種別別（未解決）</t>
        </is>
      </c>
      <c r="B19" s="9" t="n"/>
    </row>
    <row r="20">
      <c r="A20" s="10" t="inlineStr">
        <is>
          <t>機能追加</t>
        </is>
      </c>
      <c r="B20" s="11" t="n">
        <v>9</v>
      </c>
    </row>
    <row r="21">
      <c r="A21" s="10" t="inlineStr">
        <is>
          <t>改善</t>
        </is>
      </c>
      <c r="B21" s="11" t="n">
        <v>15</v>
      </c>
    </row>
    <row r="22">
      <c r="A22" s="10" t="inlineStr">
        <is>
          <t>調査</t>
        </is>
      </c>
      <c r="B22" s="11" t="n">
        <v>1</v>
      </c>
    </row>
    <row r="23">
      <c r="A23" s="10" t="inlineStr">
        <is>
          <t>設計</t>
        </is>
      </c>
      <c r="B23" s="11" t="n">
        <v>2</v>
      </c>
    </row>
    <row r="25">
      <c r="A25" s="8" t="inlineStr">
        <is>
          <t>カテゴリ別（未解決）</t>
        </is>
      </c>
      <c r="B25" s="9" t="n"/>
    </row>
    <row r="26">
      <c r="A26" s="10" t="inlineStr">
        <is>
          <t>解析エンジン</t>
        </is>
      </c>
      <c r="B26" s="11" t="n">
        <v>4</v>
      </c>
    </row>
    <row r="27">
      <c r="A27" s="10" t="inlineStr">
        <is>
          <t>merge.py</t>
        </is>
      </c>
      <c r="B27" s="11" t="n">
        <v>2</v>
      </c>
    </row>
    <row r="28">
      <c r="A28" s="10" t="inlineStr">
        <is>
          <t>GeoJSON出力</t>
        </is>
      </c>
      <c r="B28" s="11" t="n">
        <v>3</v>
      </c>
    </row>
    <row r="29">
      <c r="A29" s="10" t="inlineStr">
        <is>
          <t>その他</t>
        </is>
      </c>
      <c r="B29" s="11" t="n">
        <v>4</v>
      </c>
    </row>
    <row r="31">
      <c r="A31" s="8" t="inlineStr">
        <is>
          <t>ステージ別（未解決）</t>
        </is>
      </c>
      <c r="B31" s="9" t="n"/>
    </row>
    <row r="32">
      <c r="A32" s="10" t="inlineStr">
        <is>
          <t>SRS</t>
        </is>
      </c>
      <c r="B32" s="11" t="n">
        <v>25</v>
      </c>
    </row>
    <row r="33">
      <c r="A33" s="10" t="inlineStr">
        <is>
          <t>HLD</t>
        </is>
      </c>
      <c r="B33" s="11" t="n">
        <v>1</v>
      </c>
    </row>
    <row r="34">
      <c r="A34" s="10" t="inlineStr">
        <is>
          <t>COD</t>
        </is>
      </c>
      <c r="B34"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98</v>
      </c>
      <c r="C51" t="n">
        <v>62</v>
      </c>
      <c r="D51" t="n">
        <v>71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2026-06-15T09:27:04Z</dcterms:created>
  <dcterms:modified xsi:type="dcterms:W3CDTF">2026-06-15T09:27:04Z</dcterms:modified>
</cp:coreProperties>
</file>