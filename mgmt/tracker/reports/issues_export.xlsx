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'収束グラフ'!$A$2:$A$62</f>
            </strRef>
          </cat>
          <val>
            <numRef>
              <f>'収束グラフ'!$B$2:$B$62</f>
            </numRef>
          </val>
        </ser>
        <ser>
          <idx val="1"/>
          <order val="1"/>
          <tx>
            <strRef>
              <f>'収束グラフ'!C1</f>
            </strRef>
          </tx>
          <spPr>
            <a:ln w="20000">
              <a:solidFill>
                <a:srgbClr val="4472C4"/>
              </a:solidFill>
              <a:prstDash val="solid"/>
            </a:ln>
          </spPr>
          <marker>
            <symbol val="none"/>
            <spPr>
              <a:ln>
                <a:prstDash val="solid"/>
              </a:ln>
            </spPr>
          </marker>
          <cat>
            <strRef>
              <f>'収束グラフ'!$A$2:$A$62</f>
            </strRef>
          </cat>
          <val>
            <numRef>
              <f>'収束グラフ'!$C$2:$C$62</f>
            </numRef>
          </val>
        </ser>
        <ser>
          <idx val="2"/>
          <order val="2"/>
          <tx>
            <strRef>
              <f>'収束グラフ'!D1</f>
            </strRef>
          </tx>
          <spPr>
            <a:ln w="20000">
              <a:solidFill>
                <a:srgbClr val="70AD47"/>
              </a:solidFill>
              <a:prstDash val="solid"/>
            </a:ln>
          </spPr>
          <marker>
            <symbol val="none"/>
            <spPr>
              <a:ln>
                <a:prstDash val="solid"/>
              </a:ln>
            </spPr>
          </marker>
          <cat>
            <strRef>
              <f>'収束グラフ'!$A$2:$A$62</f>
            </strRef>
          </cat>
          <val>
            <numRef>
              <f>'収束グラフ'!$D$2:$D$62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7" t="inlineStr">
        <is>
          <t>ISSUE-127</t>
        </is>
      </c>
      <c r="B127" s="7" t="inlineStr">
        <is>
          <t>FR-020 公開用HTMLに UR-011 帰属表示を反映</t>
        </is>
      </c>
      <c r="C127" s="7" t="inlineStr">
        <is>
          <t>公開用HTML(FR-020)は唯一の外部公開成果物だが対応URがUR-006のみで、6.13にattribution記載が無い。FR-019の帰属表示は作業用ビューア向けで別テンプレートの公開用に引き継がれる保証が無い。</t>
        </is>
      </c>
      <c r="D127" s="7" t="inlineStr">
        <is>
          <t>改善</t>
        </is>
      </c>
      <c r="E127" s="3" t="inlineStr">
        <is>
          <t>高</t>
        </is>
      </c>
      <c r="F127" s="7" t="inlineStr">
        <is>
          <t>その他</t>
        </is>
      </c>
      <c r="G127" s="7" t="inlineStr">
        <is>
          <t>Opus</t>
        </is>
      </c>
      <c r="H127" s="7" t="inlineStr">
        <is>
          <t>2026-06-25</t>
        </is>
      </c>
      <c r="I127" s="7" t="inlineStr">
        <is>
          <t>SRS</t>
        </is>
      </c>
      <c r="J127" s="7" t="inlineStr"/>
      <c r="K127" s="7" t="inlineStr">
        <is>
          <t>対応完了</t>
        </is>
      </c>
      <c r="L127" s="7" t="inlineStr"/>
      <c r="M127" s="7" t="inlineStr">
        <is>
          <t>FR-020対応URにUR-011追加。6.13にattribution行(© 国土地理院常時＋OSM/OpenTopoMap各表示＋『加工して作成』)明記。UR紐付けのADR要否を判断。</t>
        </is>
      </c>
      <c r="N127" s="7" t="inlineStr"/>
      <c r="O127" s="7" t="inlineStr">
        <is>
          <t>2026-06-25</t>
        </is>
      </c>
      <c r="P127" s="7" t="inlineStr"/>
    </row>
    <row r="128" ht="40" customHeight="1">
      <c r="A128" s="6" t="inlineStr">
        <is>
          <t>ISSUE-128</t>
        </is>
      </c>
      <c r="B128" s="6" t="inlineStr">
        <is>
          <t>公開用HTMLの提供機能・公開情報範囲の定義</t>
        </is>
      </c>
      <c r="C128" s="6"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6" t="inlineStr">
        <is>
          <t>設計</t>
        </is>
      </c>
      <c r="E128" s="3" t="inlineStr">
        <is>
          <t>高</t>
        </is>
      </c>
      <c r="F128" s="6" t="inlineStr">
        <is>
          <t>その他</t>
        </is>
      </c>
      <c r="G128" s="6" t="inlineStr">
        <is>
          <t>Opus</t>
        </is>
      </c>
      <c r="H128" s="6" t="inlineStr">
        <is>
          <t>2026-06-25</t>
        </is>
      </c>
      <c r="I128" s="6" t="inlineStr">
        <is>
          <t>SRS</t>
        </is>
      </c>
      <c r="J128" s="6" t="inlineStr"/>
      <c r="K128" s="6" t="inlineStr">
        <is>
          <t>対応完了</t>
        </is>
      </c>
      <c r="L128" s="6" t="inlineStr"/>
      <c r="M128" s="6" t="inlineStr">
        <is>
          <t>公開用に含める閲覧機能の包含規則をFR-020/6.13に明記。内部値露出ポリシー・metadata基準日表示の要否を順に確定(露出判断はADR候補)。</t>
        </is>
      </c>
      <c r="N128" s="6" t="inlineStr"/>
      <c r="O128" s="6" t="inlineStr">
        <is>
          <t>2026-06-25</t>
        </is>
      </c>
      <c r="P128" s="6" t="inlineStr"/>
    </row>
    <row r="129" ht="40" customHeight="1">
      <c r="A129" s="7" t="inlineStr">
        <is>
          <t>ISSUE-129</t>
        </is>
      </c>
      <c r="B129" s="7" t="inlineStr">
        <is>
          <t>公開用エクスポート時の localStorage マージ仕様の明確化</t>
        </is>
      </c>
      <c r="C129" s="7" t="inlineStr">
        <is>
          <t>FR-020はlocalStorageをマージするとあるが、generated_at不一致(前回実行分)時にどの状態(現在のビューア表示状態 vs localStorage生データ)をマージするか未定義。</t>
        </is>
      </c>
      <c r="D129" s="7" t="inlineStr">
        <is>
          <t>改善</t>
        </is>
      </c>
      <c r="E129" s="4" t="inlineStr">
        <is>
          <t>中</t>
        </is>
      </c>
      <c r="F129" s="7" t="inlineStr">
        <is>
          <t>その他</t>
        </is>
      </c>
      <c r="G129" s="7" t="inlineStr">
        <is>
          <t>Opus</t>
        </is>
      </c>
      <c r="H129" s="7" t="inlineStr">
        <is>
          <t>2026-06-25</t>
        </is>
      </c>
      <c r="I129" s="7" t="inlineStr">
        <is>
          <t>SRS</t>
        </is>
      </c>
      <c r="J129" s="7" t="inlineStr"/>
      <c r="K129" s="7" t="inlineStr">
        <is>
          <t>対応完了</t>
        </is>
      </c>
      <c r="L129" s="7" t="inlineStr"/>
      <c r="M129" s="7" t="inlineStr">
        <is>
          <t>マージ元を『現在のビューア表示状態のスナップショット』と明記する。</t>
        </is>
      </c>
      <c r="N129" s="7" t="inlineStr"/>
      <c r="O129" s="7" t="inlineStr">
        <is>
          <t>2026-06-25</t>
        </is>
      </c>
      <c r="P129" s="7" t="inlineStr"/>
    </row>
    <row r="130" ht="40" customHeight="1">
      <c r="A130" s="6" t="inlineStr">
        <is>
          <t>ISSUE-130</t>
        </is>
      </c>
      <c r="B130" s="6" t="inlineStr">
        <is>
          <t>公開用 別テンプレート採用の設計判断記録(ADR要否)</t>
        </is>
      </c>
      <c r="C130" s="6" t="inlineStr">
        <is>
          <t>作業用テンプレートを条件分岐させず別ファイルにする設計判断の根拠が未記録。HLDで扱うかADR-SRS化するか未定。</t>
        </is>
      </c>
      <c r="D130" s="6" t="inlineStr">
        <is>
          <t>設計</t>
        </is>
      </c>
      <c r="E130" s="5" t="inlineStr">
        <is>
          <t>低</t>
        </is>
      </c>
      <c r="F130" s="6" t="inlineStr">
        <is>
          <t>その他</t>
        </is>
      </c>
      <c r="G130" s="6" t="inlineStr">
        <is>
          <t>Opus</t>
        </is>
      </c>
      <c r="H130" s="6" t="inlineStr">
        <is>
          <t>2026-06-25</t>
        </is>
      </c>
      <c r="I130" s="6" t="inlineStr">
        <is>
          <t>SRS</t>
        </is>
      </c>
      <c r="J130" s="6" t="inlineStr"/>
      <c r="K130" s="6" t="inlineStr">
        <is>
          <t>対応完了</t>
        </is>
      </c>
      <c r="L130" s="6" t="inlineStr"/>
      <c r="M130" s="6" t="inlineStr">
        <is>
          <t>HLD所掌か ADR-SRS 化かを判断し、ADR化なら作成。</t>
        </is>
      </c>
      <c r="N130" s="6" t="inlineStr"/>
      <c r="O130" s="6" t="inlineStr">
        <is>
          <t>2026-06-25</t>
        </is>
      </c>
      <c r="P130" s="6" t="inlineStr"/>
    </row>
    <row r="131" ht="40" customHeight="1">
      <c r="A131" s="7" t="inlineStr">
        <is>
          <t>ISSUE-131</t>
        </is>
      </c>
      <c r="B131" s="7" t="inlineStr">
        <is>
          <t>FR-019: カテゴリ別フィルタ4分類(new/dominant/changed/unchanged)とデータプロパティの対応未定義</t>
        </is>
      </c>
      <c r="C131" s="7"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7" t="inlineStr">
        <is>
          <t>設計</t>
        </is>
      </c>
      <c r="E131" s="3" t="inlineStr">
        <is>
          <t>高</t>
        </is>
      </c>
      <c r="F131" s="7" t="inlineStr">
        <is>
          <t>その他</t>
        </is>
      </c>
      <c r="G131" s="7" t="inlineStr">
        <is>
          <t>Opus</t>
        </is>
      </c>
      <c r="H131" s="7" t="inlineStr">
        <is>
          <t>2026-06-26</t>
        </is>
      </c>
      <c r="I131" s="7" t="inlineStr">
        <is>
          <t>SRS</t>
        </is>
      </c>
      <c r="J131" s="7" t="inlineStr"/>
      <c r="K131" s="7" t="inlineStr">
        <is>
          <t>対応完了</t>
        </is>
      </c>
      <c r="L131" s="7" t="inlineStr"/>
      <c r="M131" s="7" t="inlineStr">
        <is>
          <t>FR-009のデータモデルを確認し、4カテゴリ↔プロパティの対応表をFR-019本文に定義。設計判断を含むためADR-SRS候補。</t>
        </is>
      </c>
      <c r="N131" s="7" t="inlineStr"/>
      <c r="O131" s="7" t="inlineStr">
        <is>
          <t>2026-06-26</t>
        </is>
      </c>
      <c r="P131" s="7" t="inlineStr"/>
    </row>
    <row r="132" ht="40" customHeight="1">
      <c r="A132" s="6" t="inlineStr">
        <is>
          <t>ISSUE-132</t>
        </is>
      </c>
      <c r="B132" s="6" t="inlineStr">
        <is>
          <t>FR-019: 出力欄(1109)にFR-012があるがエクスポート経路が本文に無い</t>
        </is>
      </c>
      <c r="C132" s="6"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6" t="inlineStr">
        <is>
          <t>改善</t>
        </is>
      </c>
      <c r="E132" s="3" t="inlineStr">
        <is>
          <t>高</t>
        </is>
      </c>
      <c r="F132" s="6" t="inlineStr">
        <is>
          <t>その他</t>
        </is>
      </c>
      <c r="G132" s="6" t="inlineStr">
        <is>
          <t>Opus</t>
        </is>
      </c>
      <c r="H132" s="6" t="inlineStr">
        <is>
          <t>2026-06-26</t>
        </is>
      </c>
      <c r="I132" s="6" t="inlineStr">
        <is>
          <t>SRS</t>
        </is>
      </c>
      <c r="J132" s="6" t="inlineStr"/>
      <c r="K132" s="6" t="inlineStr">
        <is>
          <t>対応完了</t>
        </is>
      </c>
      <c r="L132" s="6" t="inlineStr"/>
      <c r="M132" s="6" t="inlineStr">
        <is>
          <t>FR-012の生成トリガを確定(推定: FR-021エビデンスZIP同梱)し、出力欄・エクスポート記述・FR-021/FR-012本文の整合を取る。</t>
        </is>
      </c>
      <c r="N132" s="6" t="inlineStr"/>
      <c r="O132" s="6" t="inlineStr">
        <is>
          <t>2026-06-26</t>
        </is>
      </c>
      <c r="P132" s="6" t="inlineStr"/>
    </row>
    <row r="133" ht="40" customHeight="1">
      <c r="A133" s="7" t="inlineStr">
        <is>
          <t>ISSUE-133</t>
        </is>
      </c>
      <c r="B133" s="7" t="inlineStr">
        <is>
          <t>FR-019: 検索の自動フィルタON対象にdeleteサミット・key_colのカテゴリ帰属が未定義</t>
        </is>
      </c>
      <c r="C133" s="7"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7" t="inlineStr">
        <is>
          <t>改善</t>
        </is>
      </c>
      <c r="E133" s="4" t="inlineStr">
        <is>
          <t>中</t>
        </is>
      </c>
      <c r="F133" s="7" t="inlineStr">
        <is>
          <t>その他</t>
        </is>
      </c>
      <c r="G133" s="7" t="inlineStr">
        <is>
          <t>Opus</t>
        </is>
      </c>
      <c r="H133" s="7" t="inlineStr">
        <is>
          <t>2026-06-26</t>
        </is>
      </c>
      <c r="I133" s="7" t="inlineStr">
        <is>
          <t>SRS</t>
        </is>
      </c>
      <c r="J133" s="7" t="inlineStr"/>
      <c r="K133" s="7" t="inlineStr">
        <is>
          <t>対応完了</t>
        </is>
      </c>
      <c r="L133" s="7" t="inlineStr"/>
      <c r="M133" s="7" t="inlineStr">
        <is>
          <t>delete サミット・key_col を4カテゴリにどう割り当てるか(ISSUE-131と連動)を定義。</t>
        </is>
      </c>
      <c r="N133" s="7" t="inlineStr"/>
      <c r="O133" s="7" t="inlineStr">
        <is>
          <t>2026-06-26</t>
        </is>
      </c>
      <c r="P133" s="7" t="inlineStr"/>
    </row>
    <row r="134" ht="40" customHeight="1">
      <c r="A134" s="6" t="inlineStr">
        <is>
          <t>ISSUE-134</t>
        </is>
      </c>
      <c r="B134" s="6" t="inlineStr">
        <is>
          <t>FR-019: newピーク山岳名入力の必須/任意・未入力時の申請書挙動が未定義</t>
        </is>
      </c>
      <c r="C134" s="6"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6" t="inlineStr">
        <is>
          <t>設計</t>
        </is>
      </c>
      <c r="E134" s="4" t="inlineStr">
        <is>
          <t>中</t>
        </is>
      </c>
      <c r="F134" s="6" t="inlineStr">
        <is>
          <t>その他</t>
        </is>
      </c>
      <c r="G134" s="6" t="inlineStr">
        <is>
          <t>Opus</t>
        </is>
      </c>
      <c r="H134" s="6" t="inlineStr">
        <is>
          <t>2026-06-26</t>
        </is>
      </c>
      <c r="I134" s="6" t="inlineStr">
        <is>
          <t>SRS</t>
        </is>
      </c>
      <c r="J134" s="6" t="inlineStr"/>
      <c r="K134" s="6" t="inlineStr">
        <is>
          <t>対応完了</t>
        </is>
      </c>
      <c r="L134" s="6" t="inlineStr"/>
      <c r="M134" s="6" t="inlineStr">
        <is>
          <t>newピーク山岳名の必須/任意と未入力時のFR-011挙動を確定。ADR-SRS候補。</t>
        </is>
      </c>
      <c r="N134" s="6" t="inlineStr"/>
      <c r="O134" s="6" t="inlineStr">
        <is>
          <t>2026-06-26</t>
        </is>
      </c>
      <c r="P134" s="6" t="inlineStr"/>
    </row>
  </sheetData>
  <dataValidations count="5">
    <dataValidation sqref="K2:K134" showDropDown="0" showInputMessage="0" showErrorMessage="0" allowBlank="1" type="list">
      <formula1>"未対応,対応中,対応完了,解決済,却下"</formula1>
    </dataValidation>
    <dataValidation sqref="E2:E134" showDropDown="0" showInputMessage="0" showErrorMessage="0" allowBlank="1" type="list">
      <formula1>"高,中,低"</formula1>
    </dataValidation>
    <dataValidation sqref="D2:D134" showDropDown="0" showInputMessage="0" showErrorMessage="0" allowBlank="1" type="list">
      <formula1>"改善,調査,設計"</formula1>
    </dataValidation>
    <dataValidation sqref="I2:I134" showDropDown="0" showInputMessage="0" showErrorMessage="0" allowBlank="1" type="list">
      <formula1>"URD,SRS,HLD,LLD,COD,UT,IT,ST,OPS"</formula1>
    </dataValidation>
    <dataValidation sqref="J2:J13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133</v>
      </c>
    </row>
    <row r="3">
      <c r="A3" s="10" t="inlineStr">
        <is>
          <t>未解決件数</t>
        </is>
      </c>
      <c r="B3" s="11" t="n">
        <v>29</v>
      </c>
    </row>
    <row r="4">
      <c r="A4" s="10" t="inlineStr">
        <is>
          <t>解決済件数</t>
        </is>
      </c>
      <c r="B4" s="11" t="n">
        <v>87</v>
      </c>
    </row>
    <row r="5">
      <c r="A5" s="10" t="inlineStr">
        <is>
          <t>解決率</t>
        </is>
      </c>
      <c r="B5" s="11" t="inlineStr">
        <is>
          <t>65.4%</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8</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12</v>
      </c>
    </row>
    <row r="17">
      <c r="A17" s="10" t="inlineStr">
        <is>
          <t>低</t>
        </is>
      </c>
      <c r="B17" s="11" t="n">
        <v>4</v>
      </c>
    </row>
    <row r="19">
      <c r="A19" s="8" t="inlineStr">
        <is>
          <t>種別別（未解決）</t>
        </is>
      </c>
      <c r="B19" s="9" t="n"/>
    </row>
    <row r="20">
      <c r="A20" s="10" t="inlineStr">
        <is>
          <t>改善</t>
        </is>
      </c>
      <c r="B20" s="11" t="n">
        <v>17</v>
      </c>
    </row>
    <row r="21">
      <c r="A21" s="10" t="inlineStr">
        <is>
          <t>調査</t>
        </is>
      </c>
      <c r="B21" s="11" t="n">
        <v>2</v>
      </c>
    </row>
    <row r="22">
      <c r="A22" s="10" t="inlineStr">
        <is>
          <t>設計</t>
        </is>
      </c>
      <c r="B22" s="11" t="n">
        <v>10</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11</v>
      </c>
    </row>
    <row r="30">
      <c r="A30" s="8" t="inlineStr">
        <is>
          <t>ステージ別（未解決）</t>
        </is>
      </c>
      <c r="B30" s="9" t="n"/>
    </row>
    <row r="31">
      <c r="A31" s="10" t="inlineStr">
        <is>
          <t>SRS</t>
        </is>
      </c>
      <c r="B31" s="11" t="n">
        <v>25</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row r="60">
      <c r="A60" t="inlineStr">
        <is>
          <t>2026-06-24</t>
        </is>
      </c>
      <c r="B60" t="n">
        <v>125</v>
      </c>
      <c r="C60" t="n">
        <v>85</v>
      </c>
      <c r="D60" t="n">
        <v>104</v>
      </c>
    </row>
    <row r="61">
      <c r="A61" t="inlineStr">
        <is>
          <t>2026-06-25</t>
        </is>
      </c>
      <c r="B61" t="n">
        <v>129</v>
      </c>
      <c r="C61" t="n">
        <v>89</v>
      </c>
      <c r="D61" t="n">
        <v>104</v>
      </c>
    </row>
    <row r="62">
      <c r="A62" t="inlineStr">
        <is>
          <t>2026-06-26</t>
        </is>
      </c>
      <c r="B62" t="n">
        <v>133</v>
      </c>
      <c r="C62" t="n">
        <v>93</v>
      </c>
      <c r="D62"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2026-06-26T11:43:10Z</dcterms:created>
  <dcterms:modified xsi:type="dcterms:W3CDTF">2026-06-26T11:43:10Z</dcterms:modified>
</cp:coreProperties>
</file>