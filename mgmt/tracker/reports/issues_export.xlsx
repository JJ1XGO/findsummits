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'収束グラフ'!$A$2:$A$50</f>
            </strRef>
          </cat>
          <val>
            <numRef>
              <f>'収束グラフ'!$B$2:$B$50</f>
            </numRef>
          </val>
        </ser>
        <ser>
          <idx val="1"/>
          <order val="1"/>
          <tx>
            <strRef>
              <f>'収束グラフ'!C1</f>
            </strRef>
          </tx>
          <spPr>
            <a:ln w="20000">
              <a:solidFill>
                <a:srgbClr val="4472C4"/>
              </a:solidFill>
              <a:prstDash val="solid"/>
            </a:ln>
          </spPr>
          <marker>
            <symbol val="none"/>
            <spPr>
              <a:ln>
                <a:prstDash val="solid"/>
              </a:ln>
            </spPr>
          </marker>
          <cat>
            <strRef>
              <f>'収束グラフ'!$A$2:$A$50</f>
            </strRef>
          </cat>
          <val>
            <numRef>
              <f>'収束グラフ'!$C$2:$C$50</f>
            </numRef>
          </val>
        </ser>
        <ser>
          <idx val="2"/>
          <order val="2"/>
          <tx>
            <strRef>
              <f>'収束グラフ'!D1</f>
            </strRef>
          </tx>
          <spPr>
            <a:ln w="20000">
              <a:solidFill>
                <a:srgbClr val="70AD47"/>
              </a:solidFill>
              <a:prstDash val="solid"/>
            </a:ln>
          </spPr>
          <marker>
            <symbol val="none"/>
            <spPr>
              <a:ln>
                <a:prstDash val="solid"/>
              </a:ln>
            </spPr>
          </marker>
          <cat>
            <strRef>
              <f>'収束グラフ'!$A$2:$A$50</f>
            </strRef>
          </cat>
          <val>
            <numRef>
              <f>'収束グラフ'!$D$2:$D$50</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2" t="inlineStr">
        <is>
          <t>ISSUE-051</t>
        </is>
      </c>
      <c r="B52" s="2" t="inlineStr">
        <is>
          <t>SRS フェーズ3（FR-014）: area_complete=false トリガー外しの重複記述整理</t>
        </is>
      </c>
      <c r="C52" s="2"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2" t="inlineStr">
        <is>
          <t>改善</t>
        </is>
      </c>
      <c r="E52" s="5" t="inlineStr">
        <is>
          <t>低</t>
        </is>
      </c>
      <c r="F52" s="2" t="inlineStr"/>
      <c r="G52" s="2" t="inlineStr"/>
      <c r="H52" s="2" t="inlineStr">
        <is>
          <t>2026-05-23</t>
        </is>
      </c>
      <c r="I52" s="2" t="inlineStr">
        <is>
          <t>SRS</t>
        </is>
      </c>
      <c r="J52" s="2" t="inlineStr">
        <is>
          <t>SRS</t>
        </is>
      </c>
      <c r="K52" s="2" t="inlineStr">
        <is>
          <t>解決済</t>
        </is>
      </c>
      <c r="L52" s="2" t="inlineStr"/>
      <c r="M52" s="2" t="inlineStr"/>
      <c r="N52" s="2" t="inlineStr"/>
      <c r="O52" s="2" t="inlineStr">
        <is>
          <t>2026-06-12</t>
        </is>
      </c>
      <c r="P52" s="2" t="inlineStr">
        <is>
          <t>2026-06-13</t>
        </is>
      </c>
    </row>
    <row r="53" ht="40" customHeight="1">
      <c r="A53" s="2" t="inlineStr">
        <is>
          <t>ISSUE-052</t>
        </is>
      </c>
      <c r="B53" s="2" t="inlineStr">
        <is>
          <t>SRS FR-014: key_col_resolved=false と独立峰の対応関係を明示</t>
        </is>
      </c>
      <c r="C53" s="2"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2" t="inlineStr">
        <is>
          <t>改善</t>
        </is>
      </c>
      <c r="E53" s="5" t="inlineStr">
        <is>
          <t>低</t>
        </is>
      </c>
      <c r="F53" s="2" t="inlineStr"/>
      <c r="G53" s="2" t="inlineStr"/>
      <c r="H53" s="2" t="inlineStr">
        <is>
          <t>2026-05-23</t>
        </is>
      </c>
      <c r="I53" s="2" t="inlineStr">
        <is>
          <t>SRS</t>
        </is>
      </c>
      <c r="J53" s="2" t="inlineStr">
        <is>
          <t>SRS</t>
        </is>
      </c>
      <c r="K53" s="2" t="inlineStr">
        <is>
          <t>解決済</t>
        </is>
      </c>
      <c r="L53" s="2" t="inlineStr"/>
      <c r="M53" s="2" t="inlineStr"/>
      <c r="N53" s="2" t="inlineStr"/>
      <c r="O53" s="2" t="inlineStr">
        <is>
          <t>2026-06-12</t>
        </is>
      </c>
      <c r="P53" s="2" t="inlineStr">
        <is>
          <t>2026-06-13</t>
        </is>
      </c>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is>
          <t>SRS</t>
        </is>
      </c>
      <c r="J63" s="7" t="inlineStr">
        <is>
          <t>HLD</t>
        </is>
      </c>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is>
          <t>SRS</t>
        </is>
      </c>
      <c r="J64" s="6" t="inlineStr">
        <is>
          <t>HLD</t>
        </is>
      </c>
      <c r="K64" s="6" t="inlineStr">
        <is>
          <t>未対応</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c r="P64" s="6" t="inlineStr"/>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is>
          <t>SRS</t>
        </is>
      </c>
      <c r="J67" s="7" t="inlineStr">
        <is>
          <t>HLD</t>
        </is>
      </c>
      <c r="K67" s="7" t="inlineStr">
        <is>
          <t>未対応</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c r="P67" s="7" t="inlineStr"/>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機能追加</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機能追加</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2" t="inlineStr">
        <is>
          <t>ISSUE-075</t>
        </is>
      </c>
      <c r="B76" s="2" t="inlineStr">
        <is>
          <t>FR-004/FR-014 責務分担変更 + ADR-SRS-004 更新</t>
        </is>
      </c>
      <c r="C76" s="2"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2" t="inlineStr">
        <is>
          <t>改善</t>
        </is>
      </c>
      <c r="E76" s="4" t="inlineStr">
        <is>
          <t>中</t>
        </is>
      </c>
      <c r="F76" s="2" t="inlineStr"/>
      <c r="G76" s="2" t="inlineStr"/>
      <c r="H76" s="2" t="inlineStr">
        <is>
          <t>2026-06-04</t>
        </is>
      </c>
      <c r="I76" s="2" t="inlineStr">
        <is>
          <t>SRS</t>
        </is>
      </c>
      <c r="J76" s="2" t="inlineStr">
        <is>
          <t>SRS</t>
        </is>
      </c>
      <c r="K76" s="2" t="inlineStr">
        <is>
          <t>解決済</t>
        </is>
      </c>
      <c r="L76" s="2" t="inlineStr"/>
      <c r="M76" s="2" t="inlineStr"/>
      <c r="N76" s="2" t="inlineStr">
        <is>
          <t>完了後、ISSUE-087（SRS FR-005 ピーク候補検出のレビュー反映）に着手すること。FR-005 観点 L（制御フロー・オーケストレーション所在）の確定は本 ISSUE の再編結果に依存する。</t>
        </is>
      </c>
      <c r="O76" s="2" t="inlineStr">
        <is>
          <t>2026-06-09</t>
        </is>
      </c>
      <c r="P76" s="2" t="inlineStr">
        <is>
          <t>2026-06-13</t>
        </is>
      </c>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2" t="inlineStr">
        <is>
          <t>ISSUE-082</t>
        </is>
      </c>
      <c r="B83" s="2" t="inlineStr">
        <is>
          <t>SRS/URD 全体の裸 FR-XXX/UR-XXX/NFR-XXX 参照の一括リンク化</t>
        </is>
      </c>
      <c r="C83" s="2"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2" t="inlineStr">
        <is>
          <t>改善</t>
        </is>
      </c>
      <c r="E83" s="5" t="inlineStr">
        <is>
          <t>低</t>
        </is>
      </c>
      <c r="F83" s="2" t="inlineStr"/>
      <c r="G83" s="2" t="inlineStr"/>
      <c r="H83" s="2" t="inlineStr">
        <is>
          <t>2026-06-08</t>
        </is>
      </c>
      <c r="I83" s="2" t="inlineStr">
        <is>
          <t>SRS</t>
        </is>
      </c>
      <c r="J83" s="2" t="inlineStr"/>
      <c r="K83" s="2" t="inlineStr">
        <is>
          <t>解決済</t>
        </is>
      </c>
      <c r="L83" s="2" t="inlineStr"/>
      <c r="M83" s="2" t="inlineStr"/>
      <c r="N83" s="2" t="inlineStr">
        <is>
          <t>FR-015 レビュー（観点 G）の別 ISSUE として登録。CLAUDE.md のフォーマット標準『他 FR/UR/NFR/セクションへの参照は Markdown リンクで記述する』が根拠</t>
        </is>
      </c>
      <c r="O83" s="2" t="inlineStr">
        <is>
          <t>2026-06-12</t>
        </is>
      </c>
      <c r="P83" s="2" t="inlineStr">
        <is>
          <t>2026-06-13</t>
        </is>
      </c>
    </row>
    <row r="84" ht="40" customHeight="1">
      <c r="A84" s="2" t="inlineStr">
        <is>
          <t>ISSUE-083</t>
        </is>
      </c>
      <c r="B84" s="2" t="inlineStr">
        <is>
          <t>SRS 全 FR の入出力テーブル形式欄の一括見直し</t>
        </is>
      </c>
      <c r="C84" s="2"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2" t="inlineStr">
        <is>
          <t>改善</t>
        </is>
      </c>
      <c r="E84" s="5" t="inlineStr">
        <is>
          <t>低</t>
        </is>
      </c>
      <c r="F84" s="2" t="inlineStr"/>
      <c r="G84" s="2" t="inlineStr"/>
      <c r="H84" s="2" t="inlineStr">
        <is>
          <t>2026-06-08</t>
        </is>
      </c>
      <c r="I84" s="2" t="inlineStr">
        <is>
          <t>SRS</t>
        </is>
      </c>
      <c r="J84" s="2" t="inlineStr"/>
      <c r="K84" s="2" t="inlineStr">
        <is>
          <t>解決済</t>
        </is>
      </c>
      <c r="L84" s="2" t="inlineStr"/>
      <c r="M84" s="2" t="inlineStr"/>
      <c r="N84" s="2" t="inlineStr">
        <is>
          <t>FR-015 レビュー（観点 I）の別 ISSUE として登録。CLAUDE.md のフォーマット標準『入出力テーブルの形式欄はファイル形式・データ型のみを記載する』が根拠</t>
        </is>
      </c>
      <c r="O84" s="2" t="inlineStr">
        <is>
          <t>2026-06-14</t>
        </is>
      </c>
      <c r="P84" s="2" t="inlineStr">
        <is>
          <t>2026-06-14</t>
        </is>
      </c>
    </row>
    <row r="85" ht="40" customHeight="1">
      <c r="A85" s="2" t="inlineStr">
        <is>
          <t>ISSUE-084</t>
        </is>
      </c>
      <c r="B85" s="2" t="inlineStr">
        <is>
          <t>ピーク候補リスト・コル情報の内部トランザクション化検討</t>
        </is>
      </c>
      <c r="C85" s="2"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2" t="inlineStr">
        <is>
          <t>設計</t>
        </is>
      </c>
      <c r="E85" s="5" t="inlineStr">
        <is>
          <t>低</t>
        </is>
      </c>
      <c r="F85" s="2" t="inlineStr"/>
      <c r="G85" s="2" t="inlineStr"/>
      <c r="H85" s="2" t="inlineStr">
        <is>
          <t>2026-06-08</t>
        </is>
      </c>
      <c r="I85" s="2" t="inlineStr">
        <is>
          <t>SRS</t>
        </is>
      </c>
      <c r="J85" s="2" t="inlineStr"/>
      <c r="K85" s="2" t="inlineStr">
        <is>
          <t>解決済</t>
        </is>
      </c>
      <c r="L85" s="2" t="inlineStr"/>
      <c r="M85" s="2" t="inlineStr"/>
      <c r="N85" s="2" t="inlineStr">
        <is>
          <t>FR-015 レビュー（観点 H）の別 ISSUE として登録。解析範囲結合画像の内部トランザクション化（ISSUE-083 相当修正）との一貫性検討として登録</t>
        </is>
      </c>
      <c r="O85" s="2" t="inlineStr">
        <is>
          <t>2026-06-14</t>
        </is>
      </c>
      <c r="P85" s="2" t="inlineStr">
        <is>
          <t>2026-06-14</t>
        </is>
      </c>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2" t="inlineStr">
        <is>
          <t>ISSUE-086</t>
        </is>
      </c>
      <c r="B87" s="2" t="inlineStr">
        <is>
          <t>mesh_analyze.h 内コメント「Terrain-RGB PNG」の修正</t>
        </is>
      </c>
      <c r="C87" s="2"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2" t="inlineStr">
        <is>
          <t>改善</t>
        </is>
      </c>
      <c r="E87" s="5" t="inlineStr">
        <is>
          <t>低</t>
        </is>
      </c>
      <c r="F87" s="2" t="inlineStr"/>
      <c r="G87" s="2" t="inlineStr"/>
      <c r="H87" s="2" t="inlineStr">
        <is>
          <t>2026-06-08</t>
        </is>
      </c>
      <c r="I87" s="2" t="inlineStr">
        <is>
          <t>SRS</t>
        </is>
      </c>
      <c r="J87" s="2" t="inlineStr"/>
      <c r="K87" s="2" t="inlineStr">
        <is>
          <t>解決済</t>
        </is>
      </c>
      <c r="L87" s="2" t="inlineStr"/>
      <c r="M87" s="2" t="inlineStr"/>
      <c r="N87" s="2" t="inlineStr">
        <is>
          <t>FR-015 レビュー（観点 B 実装側追従）の別 ISSUE として登録</t>
        </is>
      </c>
      <c r="O87" s="2" t="inlineStr">
        <is>
          <t>2026-06-12</t>
        </is>
      </c>
      <c r="P87" s="2" t="inlineStr">
        <is>
          <t>2026-06-13</t>
        </is>
      </c>
    </row>
    <row r="88" ht="40" customHeight="1">
      <c r="A88" s="2" t="inlineStr">
        <is>
          <t>ISSUE-087</t>
        </is>
      </c>
      <c r="B88" s="2" t="inlineStr">
        <is>
          <t>SRS FR-005 ピーク候補検出のレビュー反映</t>
        </is>
      </c>
      <c r="C88" s="2"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2" t="inlineStr">
        <is>
          <t>改善</t>
        </is>
      </c>
      <c r="E88" s="4" t="inlineStr">
        <is>
          <t>中</t>
        </is>
      </c>
      <c r="F88" s="2" t="inlineStr"/>
      <c r="G88" s="2" t="inlineStr">
        <is>
          <t>JJ1XGO</t>
        </is>
      </c>
      <c r="H88" s="2" t="inlineStr">
        <is>
          <t>2026-06-09</t>
        </is>
      </c>
      <c r="I88" s="2" t="inlineStr">
        <is>
          <t>SRS</t>
        </is>
      </c>
      <c r="J88" s="2" t="inlineStr">
        <is>
          <t>SRS</t>
        </is>
      </c>
      <c r="K88" s="2" t="inlineStr">
        <is>
          <t>解決済</t>
        </is>
      </c>
      <c r="L88" s="2" t="inlineStr"/>
      <c r="M88" s="2" t="inlineStr"/>
      <c r="N88" s="2" t="inlineStr"/>
      <c r="O88" s="2" t="inlineStr">
        <is>
          <t>2026-06-13</t>
        </is>
      </c>
      <c r="P88" s="2" t="inlineStr">
        <is>
          <t>2026-06-14</t>
        </is>
      </c>
    </row>
    <row r="89" ht="40" customHeight="1">
      <c r="A89" s="2" t="inlineStr">
        <is>
          <t>ISSUE-088</t>
        </is>
      </c>
      <c r="B89" s="2" t="inlineStr">
        <is>
          <t>SRS FR-004 メッシュ結合解析のレビュー反映</t>
        </is>
      </c>
      <c r="C89" s="2" t="inlineStr">
        <is>
          <t>FR-004（メッシュ結合解析）のレビュー結果（観点 A〜J）を SRS / ADR-SRS-003 に反映する。
## レビュー観点リスト
| 観点 | 内容 | 重要度 |
|---|---|---|
| A | ADR-SRS-003 との矛盾: ADR「出力は中心メッシュ内のピークのみ」vs SRS「解析対象メッシュ全体の地理的範囲内のピークを出力」。SRS が正（analysis_count 最大9回・FR-008 重複排除と整合）。ADR の Decision を更新 | 高 |
| B | 入力テーブル不足: 「標高タイル（ローカルキャッシュ）」が FR-004 入力に無い（7.2 一覧・FR-002 入力と不整合）→ 追加 | 高 |
| C | 誤参照: 「安定性を評価する（FR-009 参照）」→ stability の定義・算出は FR-008 → 修正 | 中 |
| D | ピーク出力範囲（地理的範囲フィルタ＝フリンジ除外）の記述所在: FR-007 の責務だが FR-007 に記述なし → 整理 | 中 |
| E | FR-015 呼び出しがオーケストレーション記述から漏れ → タイミング含め明示 | 中 |
| F | 出力備考「解析対象メッシュ範囲情報を伴う」が未定義 → 定義明文化 | 中 |
| G | 結合画像範囲の曖昧さ: リスト外メッシュの NODATA 扱いと範囲定義（bounding box）を明文化 | 中 |
| H | 「全176メッシュ」ハードコード → 「メッシュコードリストの全メッシュ」表現に修正 | 低 |
| I | 入力備考: 1次メッシュコードリストに [7.1.1 参照] 付与 | 低 |
| J | オーケストレーション役割の明示 + per-mesh パイプライン処理フロー図追加（ISSUE-087 観点 L の FR-004 側作業を本 ISSUE に取り込み） | 高 |
## 運用合意（2026-06-11）
観点 A〜J は個別確認を省略し Fable 提案通りに一括修正。次回セッションで修正後の FR-004 を再レビューする（実質の verify）。ISSUE-075・ISSUE-087 への注記・verify は FR-004 と FR-014 両方のレビュー完了後に行う。</t>
        </is>
      </c>
      <c r="D89" s="2" t="inlineStr">
        <is>
          <t>改善</t>
        </is>
      </c>
      <c r="E89" s="4" t="inlineStr">
        <is>
          <t>中</t>
        </is>
      </c>
      <c r="F89" s="2" t="inlineStr">
        <is>
          <t>その他</t>
        </is>
      </c>
      <c r="G89" s="2" t="inlineStr">
        <is>
          <t>Fable</t>
        </is>
      </c>
      <c r="H89" s="2" t="inlineStr">
        <is>
          <t>2026-06-11</t>
        </is>
      </c>
      <c r="I89" s="2" t="inlineStr">
        <is>
          <t>SRS</t>
        </is>
      </c>
      <c r="J89" s="2" t="inlineStr">
        <is>
          <t>SRS</t>
        </is>
      </c>
      <c r="K89" s="2" t="inlineStr">
        <is>
          <t>解決済</t>
        </is>
      </c>
      <c r="L89" s="2" t="inlineStr">
        <is>
          <t>Fable</t>
        </is>
      </c>
      <c r="M89" s="2" t="inlineStr">
        <is>
          <t>SRS FR-004 セクション・FR-007（観点 D）・ADR-SRS-003（観点 A）を修正し、処理フロー図を追加する</t>
        </is>
      </c>
      <c r="N89" s="2" t="inlineStr"/>
      <c r="O89" s="2" t="inlineStr">
        <is>
          <t>2026-06-11</t>
        </is>
      </c>
      <c r="P89" s="2" t="inlineStr">
        <is>
          <t>2026-06-13</t>
        </is>
      </c>
    </row>
    <row r="90" ht="40" customHeight="1">
      <c r="A90" s="2" t="inlineStr">
        <is>
          <t>ISSUE-089</t>
        </is>
      </c>
      <c r="B90" s="2" t="inlineStr">
        <is>
          <t>SRS FR-004 第2回レビュー反映（タイトル・入力・解析識別子・異常系）</t>
        </is>
      </c>
      <c r="C90" s="2" t="inlineStr">
        <is>
          <t>FR-004 の第2回レビュー（ISSUE-088 の実質 verify）で確定した4件の修正を反映する。①タイトルを「3×3メッシュ結合解析オーケストレーション」に変更、②入力の1次メッシュコードリストを任意化（デフォルト=日本全土リスト）、③解析識別子（FR-004: 3-&lt;meshcode&gt;、FR-014: N-&lt;meshcode&gt;-&lt;corner&gt;）を導入してFR-007/FR-015/FR-016のファイル名を統一、④異常系をフェイルファーストに書き換え（タイルゼロ=処理中止+原因調査促し）。</t>
        </is>
      </c>
      <c r="D90" s="2" t="inlineStr"/>
      <c r="E90" s="4" t="inlineStr">
        <is>
          <t>中</t>
        </is>
      </c>
      <c r="F90" s="2" t="inlineStr">
        <is>
          <t>その他</t>
        </is>
      </c>
      <c r="G90" s="2" t="inlineStr"/>
      <c r="H90" s="2" t="inlineStr">
        <is>
          <t>2026-06-12</t>
        </is>
      </c>
      <c r="I90" s="2" t="inlineStr"/>
      <c r="J90" s="2" t="inlineStr"/>
      <c r="K90" s="2" t="inlineStr">
        <is>
          <t>解決済</t>
        </is>
      </c>
      <c r="L90" s="2" t="inlineStr"/>
      <c r="M90" s="2" t="inlineStr"/>
      <c r="N90" s="2" t="inlineStr"/>
      <c r="O90" s="2" t="inlineStr">
        <is>
          <t>2026-06-12</t>
        </is>
      </c>
      <c r="P90" s="2" t="inlineStr">
        <is>
          <t>2026-06-13</t>
        </is>
      </c>
    </row>
    <row r="91" ht="40" customHeight="1">
      <c r="A91" s="2" t="inlineStr">
        <is>
          <t>ISSUE-090</t>
        </is>
      </c>
      <c r="B91" s="2" t="inlineStr">
        <is>
          <t>SRS FR-014 広域結合解析のレビュー反映</t>
        </is>
      </c>
      <c r="C91" s="2" t="inlineStr">
        <is>
          <t>FR-014 のレビュー（FR-004 確定書式・ADR-SRS-004・FR-007/008/022 との整合性検査）で検出した修正を反映する。A群（機械的整合）: 入力テーブル是正（1次メッシュコードリスト→日本全土リスト・標高タイル行追加）、出力テーブルを FR-004 書式（内部トランザクション3行+対象ピーク座標リスト）に是正、FR-007 入力テーブルに対象ピーク座標リスト行追加、コーナー配置根拠式の誤記修正、コーナー座標表記を方角ベースに統一（ADR と矛盾解消）、FR-015 呼び出しを明記（広域でも標高地形図を出力・ユーザー確認済み）。B群（仕様判断・Fable 推奨案で修正し修正後レビューで確認）: 無効パターンスキップ条件の再定義（NODATA 充填続行+新規存在メッシュゼロのみスキップ）、同一メッシュ所属の複数未確定ピークのグルーピング、L14 解析時の L15 座標保持、FR-007 カラム表に zoom_level 追加、異常系フェイルファースト追加。C群: ISSUE-051/052 の取り込み。</t>
        </is>
      </c>
      <c r="D91" s="2" t="inlineStr">
        <is>
          <t>改善</t>
        </is>
      </c>
      <c r="E91" s="4" t="inlineStr">
        <is>
          <t>中</t>
        </is>
      </c>
      <c r="F91" s="2" t="inlineStr">
        <is>
          <t>その他</t>
        </is>
      </c>
      <c r="G91" s="2" t="inlineStr"/>
      <c r="H91" s="2" t="inlineStr">
        <is>
          <t>2026-06-12</t>
        </is>
      </c>
      <c r="I91" s="2" t="inlineStr">
        <is>
          <t>SRS</t>
        </is>
      </c>
      <c r="J91" s="2" t="inlineStr"/>
      <c r="K91" s="2" t="inlineStr">
        <is>
          <t>解決済</t>
        </is>
      </c>
      <c r="L91" s="2" t="inlineStr"/>
      <c r="M91" s="2" t="inlineStr">
        <is>
          <t>docs/20_SRS.md（FR-014/007/015/022・俯瞰図）と ADR-SRS-004 を改訂。修正後にユーザーレビューを実施し第2回反映を行う。持ち越し議論: 解析範囲サイズ N の種別・B群推奨案の妥当性。</t>
        </is>
      </c>
      <c r="N91" s="2" t="inlineStr">
        <is>
          <t>【第2回レビュー反映完了 (2026-06-12 Sonnet)】
第2回レビュー確定事項:
A. 解析範囲サイズ N の種別: ユーザー入力 → 内部トランザクションに変更。FR-022 が key_col_unresolved_peaks-&lt;N&gt;.csv のファイル名から N を抽出し N+1 を渡す。データ辞書 2.2.1 の「解析範囲サイズ N」行を削除
B. 無効パターンスキップ一般化: 「3×3 解析済み範囲から 1 枚も増えない」→「それまでに解析済みのどの範囲（3×3 + 既解析広域窓）と比べても 1 枚も増えない配置はスキップ」に拡張（N 段階間の重複も排除）
C. 異常系追加: ウィンドウ（bounding box）内の存在メッシュにローカルタイルが 1 枚も無い → エラー中止（prefetch 漏れ検出 + 海面確定規則誤発動防止）
D. FR-007 広域モード: 対象ピーク絞り込みの一致判定方法を明記（緯度経度→ L15 タイル座標変換して比較）
E. max pooling 同値時: 採用ピクセルの決定は決定的とする（具体規則は HLD/LLD）
F. FR-022 出力: key_col_unresolved_peaks-&lt;N&gt;.csv を内部データとして追加
G. 陸地最高峰対策（ISSUE-091 として別途登録・本作業内で SRS 反映済み）: FR-006 海面確定規則 + FR-022 陸地最高峰リスト適用 + 7.1.4 追加 + ADR-SRS-019 新規作成
SRS 変更箇所: FR-006・FR-007・FR-014・FR-022・2.2.1・7.1・7.2</t>
        </is>
      </c>
      <c r="O91" s="2" t="inlineStr">
        <is>
          <t>2026-06-12</t>
        </is>
      </c>
      <c r="P91" s="2" t="inlineStr">
        <is>
          <t>2026-06-13</t>
        </is>
      </c>
    </row>
    <row r="92" ht="40" customHeight="1">
      <c r="A92" s="2" t="inlineStr">
        <is>
          <t>ISSUE-091</t>
        </is>
      </c>
      <c r="B92" s="2" t="inlineStr">
        <is>
          <t>SRS 陸地最高峰の Key コル確定方式（FR-006 海面確定規則 + 陸地最高峰リスト）</t>
        </is>
      </c>
      <c r="C92" s="2" t="inlineStr"/>
      <c r="D92" s="2" t="inlineStr">
        <is>
          <t>機能追加</t>
        </is>
      </c>
      <c r="E92" s="3" t="inlineStr">
        <is>
          <t>高</t>
        </is>
      </c>
      <c r="F92" s="2" t="inlineStr"/>
      <c r="G92" s="2" t="inlineStr"/>
      <c r="H92" s="2" t="inlineStr">
        <is>
          <t>2026-06-12</t>
        </is>
      </c>
      <c r="I92" s="2" t="inlineStr">
        <is>
          <t>SRS</t>
        </is>
      </c>
      <c r="J92" s="2" t="inlineStr"/>
      <c r="K92" s="2" t="inlineStr">
        <is>
          <t>解決済</t>
        </is>
      </c>
      <c r="L92" s="2" t="inlineStr">
        <is>
          <t>Sonnet</t>
        </is>
      </c>
      <c r="M92" s="2" t="inlineStr"/>
      <c r="N92" s="2" t="inlineStr">
        <is>
          <t>ISSUE-090 第2回レビュー中に発見した仕様ギャップ。現行仕様では富士山・旭岳・中岳（九重）が永遠に key_col_resolved=false のまま FR-009 で異常終了する。二層構造で対応: (1) FR-006 海面確定規則（山塊が範囲端に触れずに flood 完結 → Key コル = 0m 自動確定）、(2) 陸地最高峰リスト（ユーザー入力パラメータ・3 件）を FR-022 が広域ループ前に海面確定に手動更新。ADR-SRS-019-land-summit-highest-peak-handling.md を新規作成済み。SRS の FR-006・FR-022・7.1・7.2 を本 ISSUE-090 レビュー反映作業内で更新済み。検証ポイント: 石鎚山が実データで 3×3 海面確定規則により自動確定するかを実装後に確認（しなければリストに追加）。</t>
        </is>
      </c>
      <c r="O92" s="2" t="inlineStr">
        <is>
          <t>2026-06-12</t>
        </is>
      </c>
      <c r="P92" s="2" t="inlineStr">
        <is>
          <t>2026-06-13</t>
        </is>
      </c>
    </row>
    <row r="93" ht="40" customHeight="1">
      <c r="A93" s="7" t="inlineStr">
        <is>
          <t>ISSUE-092</t>
        </is>
      </c>
      <c r="B93" s="7" t="inlineStr">
        <is>
          <t>FR-010 出力テーブルの形式欄が形式記述になっていない</t>
        </is>
      </c>
      <c r="C93" s="7" t="inlineStr">
        <is>
          <t>FR-010（削除候補のスコープ）の出力テーブルの「形式」欄が「[FR-009] 内のフィルタとして機能」となっており、ファイル形式・データ型の記述になっていない。ISSUE-083 対応時にスコープ外と判断し別課題として登録。</t>
        </is>
      </c>
      <c r="D93" s="7" t="inlineStr">
        <is>
          <t>改善</t>
        </is>
      </c>
      <c r="E93" s="5" t="inlineStr">
        <is>
          <t>低</t>
        </is>
      </c>
      <c r="F93" s="7" t="inlineStr"/>
      <c r="G93" s="7" t="inlineStr">
        <is>
          <t>Sonnet</t>
        </is>
      </c>
      <c r="H93" s="7" t="inlineStr">
        <is>
          <t>2026-06-14</t>
        </is>
      </c>
      <c r="I93" s="7" t="inlineStr">
        <is>
          <t>SRS</t>
        </is>
      </c>
      <c r="J93" s="7" t="inlineStr"/>
      <c r="K93" s="7" t="inlineStr">
        <is>
          <t>未対応</t>
        </is>
      </c>
      <c r="L93" s="7" t="inlineStr">
        <is>
          <t>Sonnet</t>
        </is>
      </c>
      <c r="M93" s="7" t="inlineStr"/>
      <c r="N93" s="7" t="inlineStr">
        <is>
          <t>FR-010 レビュー時に検討。ISSUE-083 で対象外とした別種の問題（形式欄の意味論）。</t>
        </is>
      </c>
      <c r="O93" s="7" t="inlineStr"/>
      <c r="P93" s="7" t="inlineStr"/>
    </row>
    <row r="94" ht="40" customHeight="1">
      <c r="A94" s="6" t="inlineStr">
        <is>
          <t>ISSUE-093</t>
        </is>
      </c>
      <c r="B94" s="6" t="inlineStr">
        <is>
          <t>FR-019 出力テーブルの形式欄が形式記述になっていない</t>
        </is>
      </c>
      <c r="C94" s="6" t="inlineStr">
        <is>
          <t>FR-019（HTML ビューア機能仕様）の出力テーブルの「各エクスポート」行の「形式」欄が他 FR へのリンク列記となっており、ファイル形式・データ型の記述になっていない。ISSUE-083 対応時にスコープ外と判断し別課題として登録。</t>
        </is>
      </c>
      <c r="D94" s="6" t="inlineStr">
        <is>
          <t>改善</t>
        </is>
      </c>
      <c r="E94" s="5" t="inlineStr">
        <is>
          <t>低</t>
        </is>
      </c>
      <c r="F94" s="6" t="inlineStr"/>
      <c r="G94" s="6" t="inlineStr">
        <is>
          <t>Sonnet</t>
        </is>
      </c>
      <c r="H94" s="6" t="inlineStr">
        <is>
          <t>2026-06-14</t>
        </is>
      </c>
      <c r="I94" s="6" t="inlineStr">
        <is>
          <t>SRS</t>
        </is>
      </c>
      <c r="J94" s="6" t="inlineStr"/>
      <c r="K94" s="6" t="inlineStr">
        <is>
          <t>未対応</t>
        </is>
      </c>
      <c r="L94" s="6" t="inlineStr">
        <is>
          <t>Sonnet</t>
        </is>
      </c>
      <c r="M94" s="6" t="inlineStr"/>
      <c r="N94" s="6" t="inlineStr">
        <is>
          <t>FR-019 レビュー時に検討。ISSUE-083 で対象外とした別種の問題（形式欄の意味論）。</t>
        </is>
      </c>
      <c r="O94" s="6" t="inlineStr"/>
      <c r="P94" s="6" t="inlineStr"/>
    </row>
    <row r="95" ht="40" customHeight="1">
      <c r="A95" s="7" t="inlineStr">
        <is>
          <t>ISSUE-094</t>
        </is>
      </c>
      <c r="B95" s="7" t="inlineStr">
        <is>
          <t>FR-005/006/007/016: ピーク↔コル紐付けモデルを per-peak 対応レコードへ一本化</t>
        </is>
      </c>
      <c r="C95" s="7" t="inlineStr">
        <is>
          <t>FR-006 出力「コル情報」は FR-007・FR-016 でピーク候補リストと別々に入力されているが、アルゴリズム上ピーク↔Key コルは 1:1 対応であり、ジョインキーが未定義・3成分同時接触エッジケースで曖昧になる問題がある。FR-006 出力を「ピーク候補・コル情報リスト」（1レコード＝1ピーク＋その Key コル）に一本化し、FR-016 の独立「ピーク候補リスト」入力を削除する。ADR-SRS-020 を新設して設計根拠を記録する。</t>
        </is>
      </c>
      <c r="D95" s="7" t="inlineStr">
        <is>
          <t>改善</t>
        </is>
      </c>
      <c r="E95" s="3" t="inlineStr">
        <is>
          <t>高</t>
        </is>
      </c>
      <c r="F95" s="7" t="inlineStr"/>
      <c r="G95" s="7" t="inlineStr">
        <is>
          <t>Opus</t>
        </is>
      </c>
      <c r="H95" s="7" t="inlineStr">
        <is>
          <t>2026-06-14</t>
        </is>
      </c>
      <c r="I95" s="7" t="inlineStr">
        <is>
          <t>SRS</t>
        </is>
      </c>
      <c r="J95" s="7" t="inlineStr"/>
      <c r="K95" s="7" t="inlineStr">
        <is>
          <t>対応完了</t>
        </is>
      </c>
      <c r="L95" s="7" t="inlineStr">
        <is>
          <t>Opus</t>
        </is>
      </c>
      <c r="M95" s="7" t="inlineStr"/>
      <c r="N95" s="7" t="inlineStr"/>
      <c r="O95" s="7" t="inlineStr">
        <is>
          <t>2026-06-14</t>
        </is>
      </c>
      <c r="P95" s="7" t="inlineStr"/>
    </row>
    <row r="96" ht="40" customHeight="1">
      <c r="A96" s="6" t="inlineStr">
        <is>
          <t>ISSUE-095</t>
        </is>
      </c>
      <c r="B96" s="6" t="inlineStr">
        <is>
          <t>FR-006: コル確定/未確定の判定基準（境界辺接触 topology）と未確定行の値定義</t>
        </is>
      </c>
      <c r="C96" s="6" t="inlineStr">
        <is>
          <t>FR-006 の説明（587-588行）に以下の2点が欠落している。(1) resolved 判定基準: 連結成分がグリッド最外周 1px 海面ボーダーに接触→resolved=false、接触せず内部完結→resolved=true（Key コル=海面0m）という境界辺接触 topology で記述する必要がある。(2) resolved=false 時の col_elev/prominence: 真の Key コルは窓外のため未確定。sentinel（空欄 or NODATA）で表現する。また FR-006 入力テーブルに「解析範囲標高グリッド」が欠落している（コル標高算出・境界接触判定に必要）。</t>
        </is>
      </c>
      <c r="D96" s="6" t="inlineStr">
        <is>
          <t>改善</t>
        </is>
      </c>
      <c r="E96" s="3" t="inlineStr">
        <is>
          <t>高</t>
        </is>
      </c>
      <c r="F96" s="6" t="inlineStr"/>
      <c r="G96" s="6" t="inlineStr">
        <is>
          <t>Opus</t>
        </is>
      </c>
      <c r="H96" s="6" t="inlineStr">
        <is>
          <t>2026-06-14</t>
        </is>
      </c>
      <c r="I96" s="6" t="inlineStr">
        <is>
          <t>SRS</t>
        </is>
      </c>
      <c r="J96" s="6" t="inlineStr"/>
      <c r="K96" s="6" t="inlineStr">
        <is>
          <t>対応完了</t>
        </is>
      </c>
      <c r="L96" s="6" t="inlineStr">
        <is>
          <t>Opus</t>
        </is>
      </c>
      <c r="M96" s="6" t="inlineStr"/>
      <c r="N96" s="6" t="inlineStr"/>
      <c r="O96" s="6" t="inlineStr">
        <is>
          <t>2026-06-14</t>
        </is>
      </c>
      <c r="P96" s="6" t="inlineStr"/>
    </row>
    <row r="97" ht="40" customHeight="1">
      <c r="A97" s="7" t="inlineStr">
        <is>
          <t>ISSUE-096</t>
        </is>
      </c>
      <c r="B97" s="7" t="inlineStr">
        <is>
          <t>FR-007: col_margin_px の位置づけ確定（診断・将来用）と 629行誤記述の訂正</t>
        </is>
      </c>
      <c r="C97" s="7" t="inlineStr">
        <is>
          <t>col_margin_px は FR-008 の stability 判定では未使用（stability は key_col_resolved と analysis_count/expected_count のみで決まる）。ADR-SRS-004 98行に『将来の最適化余地』として言及されており、診断・将来用フィールドとして CSV に残す。FR-007 出力カラム（629行）の『FR-008 の stability 判定時に col_margin_px を L15 相当へ換算する』という記述は誤りのため、診断用フィールドである旨に訂正する。</t>
        </is>
      </c>
      <c r="D97" s="7" t="inlineStr">
        <is>
          <t>改善</t>
        </is>
      </c>
      <c r="E97" s="4" t="inlineStr">
        <is>
          <t>中</t>
        </is>
      </c>
      <c r="F97" s="7" t="inlineStr"/>
      <c r="G97" s="7" t="inlineStr">
        <is>
          <t>Opus</t>
        </is>
      </c>
      <c r="H97" s="7" t="inlineStr">
        <is>
          <t>2026-06-14</t>
        </is>
      </c>
      <c r="I97" s="7" t="inlineStr">
        <is>
          <t>SRS</t>
        </is>
      </c>
      <c r="J97" s="7" t="inlineStr"/>
      <c r="K97" s="7" t="inlineStr">
        <is>
          <t>対応完了</t>
        </is>
      </c>
      <c r="L97" s="7" t="inlineStr">
        <is>
          <t>Opus</t>
        </is>
      </c>
      <c r="M97" s="7" t="inlineStr"/>
      <c r="N97" s="7" t="inlineStr"/>
      <c r="O97" s="7" t="inlineStr">
        <is>
          <t>2026-06-14</t>
        </is>
      </c>
      <c r="P97" s="7" t="inlineStr"/>
    </row>
  </sheetData>
  <dataValidations count="5">
    <dataValidation sqref="K2:K97" showDropDown="0" showInputMessage="0" showErrorMessage="0" allowBlank="1" type="list">
      <formula1>"未対応,対応中,対応完了,解決済,却下"</formula1>
    </dataValidation>
    <dataValidation sqref="E2:E97" showDropDown="0" showInputMessage="0" showErrorMessage="0" allowBlank="1" type="list">
      <formula1>"高,中,低"</formula1>
    </dataValidation>
    <dataValidation sqref="D2:D97" showDropDown="0" showInputMessage="0" showErrorMessage="0" allowBlank="1" type="list">
      <formula1>"機能追加,改善,調査,設計"</formula1>
    </dataValidation>
    <dataValidation sqref="I2:I97" showDropDown="0" showInputMessage="0" showErrorMessage="0" allowBlank="1" type="list">
      <formula1>"URD,SRS,HLD,LLD,COD,UT,IT,ST,OPS"</formula1>
    </dataValidation>
    <dataValidation sqref="J2:J97"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96</v>
      </c>
    </row>
    <row r="3">
      <c r="A3" s="10" t="inlineStr">
        <is>
          <t>未解決件数</t>
        </is>
      </c>
      <c r="B3" s="11" t="n">
        <v>25</v>
      </c>
    </row>
    <row r="4">
      <c r="A4" s="10" t="inlineStr">
        <is>
          <t>解決済件数</t>
        </is>
      </c>
      <c r="B4" s="11" t="n">
        <v>54</v>
      </c>
    </row>
    <row r="5">
      <c r="A5" s="10" t="inlineStr">
        <is>
          <t>解決率</t>
        </is>
      </c>
      <c r="B5" s="11" t="inlineStr">
        <is>
          <t>56.2%</t>
        </is>
      </c>
    </row>
    <row r="7">
      <c r="A7" s="8" t="inlineStr">
        <is>
          <t>ステータス別</t>
        </is>
      </c>
      <c r="B7" s="9" t="n"/>
    </row>
    <row r="8">
      <c r="A8" s="10" t="inlineStr">
        <is>
          <t>未対応</t>
        </is>
      </c>
      <c r="B8" s="11" t="n">
        <v>22</v>
      </c>
    </row>
    <row r="9">
      <c r="A9" s="10" t="inlineStr">
        <is>
          <t>対応中</t>
        </is>
      </c>
      <c r="B9" s="11" t="n">
        <v>0</v>
      </c>
    </row>
    <row r="10">
      <c r="A10" s="10" t="inlineStr">
        <is>
          <t>対応完了</t>
        </is>
      </c>
      <c r="B10" s="11" t="n">
        <v>3</v>
      </c>
    </row>
    <row r="11">
      <c r="A11" s="10" t="inlineStr">
        <is>
          <t>解決済</t>
        </is>
      </c>
      <c r="B11" s="11" t="n">
        <v>54</v>
      </c>
    </row>
    <row r="12">
      <c r="A12" s="10" t="inlineStr">
        <is>
          <t>却下</t>
        </is>
      </c>
      <c r="B12" s="11" t="n">
        <v>17</v>
      </c>
    </row>
    <row r="14">
      <c r="A14" s="8" t="inlineStr">
        <is>
          <t>優先度別（未解決）</t>
        </is>
      </c>
      <c r="B14" s="9" t="n"/>
    </row>
    <row r="15">
      <c r="A15" s="10" t="inlineStr">
        <is>
          <t>高</t>
        </is>
      </c>
      <c r="B15" s="11" t="n">
        <v>13</v>
      </c>
    </row>
    <row r="16">
      <c r="A16" s="10" t="inlineStr">
        <is>
          <t>中</t>
        </is>
      </c>
      <c r="B16" s="11" t="n">
        <v>9</v>
      </c>
    </row>
    <row r="17">
      <c r="A17" s="10" t="inlineStr">
        <is>
          <t>低</t>
        </is>
      </c>
      <c r="B17" s="11" t="n">
        <v>3</v>
      </c>
    </row>
    <row r="19">
      <c r="A19" s="8" t="inlineStr">
        <is>
          <t>種別別（未解決）</t>
        </is>
      </c>
      <c r="B19" s="9" t="n"/>
    </row>
    <row r="20">
      <c r="A20" s="10" t="inlineStr">
        <is>
          <t>機能追加</t>
        </is>
      </c>
      <c r="B20" s="11" t="n">
        <v>9</v>
      </c>
    </row>
    <row r="21">
      <c r="A21" s="10" t="inlineStr">
        <is>
          <t>改善</t>
        </is>
      </c>
      <c r="B21" s="11" t="n">
        <v>15</v>
      </c>
    </row>
    <row r="22">
      <c r="A22" s="10" t="inlineStr">
        <is>
          <t>調査</t>
        </is>
      </c>
      <c r="B22" s="11" t="n">
        <v>1</v>
      </c>
    </row>
    <row r="24">
      <c r="A24" s="8" t="inlineStr">
        <is>
          <t>カテゴリ別（未解決）</t>
        </is>
      </c>
      <c r="B24" s="9" t="n"/>
    </row>
    <row r="25">
      <c r="A25" s="10" t="inlineStr">
        <is>
          <t>解析エンジン</t>
        </is>
      </c>
      <c r="B25" s="11" t="n">
        <v>4</v>
      </c>
    </row>
    <row r="26">
      <c r="A26" s="10" t="inlineStr">
        <is>
          <t>merge.py</t>
        </is>
      </c>
      <c r="B26" s="11" t="n">
        <v>2</v>
      </c>
    </row>
    <row r="27">
      <c r="A27" s="10" t="inlineStr">
        <is>
          <t>GeoJSON出力</t>
        </is>
      </c>
      <c r="B27" s="11" t="n">
        <v>3</v>
      </c>
    </row>
    <row r="28">
      <c r="A28" s="10" t="inlineStr">
        <is>
          <t>その他</t>
        </is>
      </c>
      <c r="B28" s="11" t="n">
        <v>4</v>
      </c>
    </row>
    <row r="30">
      <c r="A30" s="8" t="inlineStr">
        <is>
          <t>ステージ別（未解決）</t>
        </is>
      </c>
      <c r="B30" s="9" t="n"/>
    </row>
    <row r="31">
      <c r="A31" s="10" t="inlineStr">
        <is>
          <t>SRS</t>
        </is>
      </c>
      <c r="B31" s="11" t="n">
        <v>23</v>
      </c>
    </row>
    <row r="32">
      <c r="A32" s="10" t="inlineStr">
        <is>
          <t>HLD</t>
        </is>
      </c>
      <c r="B32" s="11" t="n">
        <v>1</v>
      </c>
    </row>
    <row r="33">
      <c r="A33" s="10" t="inlineStr">
        <is>
          <t>COD</t>
        </is>
      </c>
      <c r="B33"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0"/>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35</v>
      </c>
    </row>
    <row r="29">
      <c r="A29" t="inlineStr">
        <is>
          <t>2026-05-24</t>
        </is>
      </c>
      <c r="B29" t="n">
        <v>55</v>
      </c>
      <c r="C29" t="n">
        <v>35</v>
      </c>
      <c r="D29" t="n">
        <v>37</v>
      </c>
    </row>
    <row r="30">
      <c r="A30" t="inlineStr">
        <is>
          <t>2026-05-25</t>
        </is>
      </c>
      <c r="B30" t="n">
        <v>56</v>
      </c>
      <c r="C30" t="n">
        <v>35</v>
      </c>
      <c r="D30" t="n">
        <v>37</v>
      </c>
    </row>
    <row r="31">
      <c r="A31" t="inlineStr">
        <is>
          <t>2026-05-26</t>
        </is>
      </c>
      <c r="B31" t="n">
        <v>56</v>
      </c>
      <c r="C31" t="n">
        <v>35</v>
      </c>
      <c r="D31" t="n">
        <v>37</v>
      </c>
    </row>
    <row r="32">
      <c r="A32" t="inlineStr">
        <is>
          <t>2026-05-27</t>
        </is>
      </c>
      <c r="B32" t="n">
        <v>56</v>
      </c>
      <c r="C32" t="n">
        <v>35</v>
      </c>
      <c r="D32" t="n">
        <v>37</v>
      </c>
    </row>
    <row r="33">
      <c r="A33" t="inlineStr">
        <is>
          <t>2026-05-28</t>
        </is>
      </c>
      <c r="B33" t="n">
        <v>56</v>
      </c>
      <c r="C33" t="n">
        <v>36</v>
      </c>
      <c r="D33" t="n">
        <v>38</v>
      </c>
    </row>
    <row r="34">
      <c r="A34" t="inlineStr">
        <is>
          <t>2026-05-29</t>
        </is>
      </c>
      <c r="B34" t="n">
        <v>62</v>
      </c>
      <c r="C34" t="n">
        <v>39</v>
      </c>
      <c r="D34" t="n">
        <v>41</v>
      </c>
    </row>
    <row r="35">
      <c r="A35" t="inlineStr">
        <is>
          <t>2026-05-30</t>
        </is>
      </c>
      <c r="B35" t="n">
        <v>62</v>
      </c>
      <c r="C35" t="n">
        <v>39</v>
      </c>
      <c r="D35" t="n">
        <v>41</v>
      </c>
    </row>
    <row r="36">
      <c r="A36" t="inlineStr">
        <is>
          <t>2026-05-31</t>
        </is>
      </c>
      <c r="B36" t="n">
        <v>68</v>
      </c>
      <c r="C36" t="n">
        <v>41</v>
      </c>
      <c r="D36" t="n">
        <v>43</v>
      </c>
    </row>
    <row r="37">
      <c r="A37" t="inlineStr">
        <is>
          <t>2026-06-01</t>
        </is>
      </c>
      <c r="B37" t="n">
        <v>69</v>
      </c>
      <c r="C37" t="n">
        <v>42</v>
      </c>
      <c r="D37" t="n">
        <v>44</v>
      </c>
    </row>
    <row r="38">
      <c r="A38" t="inlineStr">
        <is>
          <t>2026-06-02</t>
        </is>
      </c>
      <c r="B38" t="n">
        <v>73</v>
      </c>
      <c r="C38" t="n">
        <v>42</v>
      </c>
      <c r="D38" t="n">
        <v>44</v>
      </c>
    </row>
    <row r="39">
      <c r="A39" t="inlineStr">
        <is>
          <t>2026-06-03</t>
        </is>
      </c>
      <c r="B39" t="n">
        <v>73</v>
      </c>
      <c r="C39" t="n">
        <v>42</v>
      </c>
      <c r="D39" t="n">
        <v>44</v>
      </c>
    </row>
    <row r="40">
      <c r="A40" t="inlineStr">
        <is>
          <t>2026-06-04</t>
        </is>
      </c>
      <c r="B40" t="n">
        <v>76</v>
      </c>
      <c r="C40" t="n">
        <v>42</v>
      </c>
      <c r="D40" t="n">
        <v>44</v>
      </c>
    </row>
    <row r="41">
      <c r="A41" t="inlineStr">
        <is>
          <t>2026-06-05</t>
        </is>
      </c>
      <c r="B41" t="n">
        <v>79</v>
      </c>
      <c r="C41" t="n">
        <v>43</v>
      </c>
      <c r="D41" t="n">
        <v>46</v>
      </c>
    </row>
    <row r="42">
      <c r="A42" t="inlineStr">
        <is>
          <t>2026-06-06</t>
        </is>
      </c>
      <c r="B42" t="n">
        <v>80</v>
      </c>
      <c r="C42" t="n">
        <v>44</v>
      </c>
      <c r="D42" t="n">
        <v>47</v>
      </c>
    </row>
    <row r="43">
      <c r="A43" t="inlineStr">
        <is>
          <t>2026-06-07</t>
        </is>
      </c>
      <c r="B43" t="n">
        <v>81</v>
      </c>
      <c r="C43" t="n">
        <v>45</v>
      </c>
      <c r="D43" t="n">
        <v>59</v>
      </c>
    </row>
    <row r="44">
      <c r="A44" t="inlineStr">
        <is>
          <t>2026-06-08</t>
        </is>
      </c>
      <c r="B44" t="n">
        <v>86</v>
      </c>
      <c r="C44" t="n">
        <v>45</v>
      </c>
      <c r="D44" t="n">
        <v>59</v>
      </c>
    </row>
    <row r="45">
      <c r="A45" t="inlineStr">
        <is>
          <t>2026-06-09</t>
        </is>
      </c>
      <c r="B45" t="n">
        <v>87</v>
      </c>
      <c r="C45" t="n">
        <v>46</v>
      </c>
      <c r="D45" t="n">
        <v>59</v>
      </c>
    </row>
    <row r="46">
      <c r="A46" t="inlineStr">
        <is>
          <t>2026-06-10</t>
        </is>
      </c>
      <c r="B46" t="n">
        <v>87</v>
      </c>
      <c r="C46" t="n">
        <v>46</v>
      </c>
      <c r="D46" t="n">
        <v>59</v>
      </c>
    </row>
    <row r="47">
      <c r="A47" t="inlineStr">
        <is>
          <t>2026-06-11</t>
        </is>
      </c>
      <c r="B47" t="n">
        <v>88</v>
      </c>
      <c r="C47" t="n">
        <v>47</v>
      </c>
      <c r="D47" t="n">
        <v>59</v>
      </c>
    </row>
    <row r="48">
      <c r="A48" t="inlineStr">
        <is>
          <t>2026-06-12</t>
        </is>
      </c>
      <c r="B48" t="n">
        <v>91</v>
      </c>
      <c r="C48" t="n">
        <v>54</v>
      </c>
      <c r="D48" t="n">
        <v>59</v>
      </c>
    </row>
    <row r="49">
      <c r="A49" t="inlineStr">
        <is>
          <t>2026-06-13</t>
        </is>
      </c>
      <c r="B49" t="n">
        <v>91</v>
      </c>
      <c r="C49" t="n">
        <v>55</v>
      </c>
      <c r="D49" t="n">
        <v>68</v>
      </c>
    </row>
    <row r="50">
      <c r="A50" t="inlineStr">
        <is>
          <t>2026-06-14</t>
        </is>
      </c>
      <c r="B50" t="n">
        <v>96</v>
      </c>
      <c r="C50" t="n">
        <v>60</v>
      </c>
      <c r="D50" t="n">
        <v>71</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2026-06-14T08:33:58Z</dcterms:created>
  <dcterms:modified xsi:type="dcterms:W3CDTF">2026-06-14T08:33:58Z</dcterms:modified>
</cp:coreProperties>
</file>