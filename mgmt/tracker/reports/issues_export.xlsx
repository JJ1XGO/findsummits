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'収束グラフ'!$A$2:$A$64</f>
            </strRef>
          </cat>
          <val>
            <numRef>
              <f>'収束グラフ'!$B$2:$B$64</f>
            </numRef>
          </val>
          <smooth val="0"/>
        </ser>
        <ser>
          <idx val="1"/>
          <order val="1"/>
          <tx>
            <strRef>
              <f>'収束グラフ'!C1</f>
            </strRef>
          </tx>
          <spPr>
            <a:ln w="20000">
              <a:solidFill>
                <a:srgbClr val="4472C4"/>
              </a:solidFill>
              <a:prstDash val="solid"/>
            </a:ln>
          </spPr>
          <marker>
            <symbol val="none"/>
            <spPr>
              <a:ln>
                <a:prstDash val="solid"/>
              </a:ln>
            </spPr>
          </marker>
          <cat>
            <strRef>
              <f>'収束グラフ'!$A$2:$A$64</f>
            </strRef>
          </cat>
          <val>
            <numRef>
              <f>'収束グラフ'!$C$2:$C$64</f>
            </numRef>
          </val>
          <smooth val="0"/>
        </ser>
        <ser>
          <idx val="2"/>
          <order val="2"/>
          <tx>
            <strRef>
              <f>'収束グラフ'!D1</f>
            </strRef>
          </tx>
          <spPr>
            <a:ln w="20000">
              <a:solidFill>
                <a:srgbClr val="70AD47"/>
              </a:solidFill>
              <a:prstDash val="solid"/>
            </a:ln>
          </spPr>
          <marker>
            <symbol val="none"/>
            <spPr>
              <a:ln>
                <a:prstDash val="solid"/>
              </a:ln>
            </spPr>
          </marker>
          <cat>
            <strRef>
              <f>'収束グラフ'!$A$2:$A$64</f>
            </strRef>
          </cat>
          <val>
            <numRef>
              <f>'収束グラフ'!$D$2:$D$64</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SRS</t>
        </is>
      </c>
      <c r="K32" s="2" t="inlineStr">
        <is>
          <t>解決済</t>
        </is>
      </c>
      <c r="L32" s="2" t="inlineStr"/>
      <c r="M32" s="2" t="inlineStr">
        <is>
          <t>(1) UR-001 〜 UR-010 を縦軸、現状の対応 FR/NFR を横軸に整理した一覧表を作成し漏れを抽出
(2) 漏れている対応関係を該当 FR / NFR の '対応 UR' フィールドに追記
(3) ISSUE-031（RTM）作成の前提データとして提供</t>
        </is>
      </c>
      <c r="N32" s="2" t="inlineStr">
        <is>
          <t>UR-009 削除・NFR-003 対応 UR を UR-004/005 に・NFR-007 対応 UR を UR-008 に振り替え済み（ISSUE-029 対応、2026-05-24）</t>
        </is>
      </c>
      <c r="O32" s="2" t="inlineStr">
        <is>
          <t>2026-06-28</t>
        </is>
      </c>
      <c r="P32" s="2" t="inlineStr">
        <is>
          <t>2026-06-28</t>
        </is>
      </c>
    </row>
    <row r="33" ht="40" customHeight="1">
      <c r="A33" s="2" t="inlineStr">
        <is>
          <t>ISSUE-032</t>
        </is>
      </c>
      <c r="B33" s="2" t="inlineStr">
        <is>
          <t>SRS: 要求トレーサビリティ・マトリックス（RTM）の追加</t>
        </is>
      </c>
      <c r="C33" s="2"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2" t="inlineStr">
        <is>
          <t>改善</t>
        </is>
      </c>
      <c r="E33" s="3" t="inlineStr">
        <is>
          <t>高</t>
        </is>
      </c>
      <c r="F33" s="2" t="inlineStr">
        <is>
          <t>その他</t>
        </is>
      </c>
      <c r="G33" s="2" t="inlineStr"/>
      <c r="H33" s="2" t="inlineStr">
        <is>
          <t>2026-05-14</t>
        </is>
      </c>
      <c r="I33" s="2" t="inlineStr">
        <is>
          <t>SRS</t>
        </is>
      </c>
      <c r="J33" s="2" t="inlineStr">
        <is>
          <t>SRS</t>
        </is>
      </c>
      <c r="K33" s="2" t="inlineStr">
        <is>
          <t>解決済</t>
        </is>
      </c>
      <c r="L33" s="2" t="inlineStr"/>
      <c r="M33" s="2"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2" t="inlineStr"/>
      <c r="O33" s="2" t="inlineStr">
        <is>
          <t>2026-06-28</t>
        </is>
      </c>
      <c r="P33" s="2" t="inlineStr">
        <is>
          <t>2026-06-28</t>
        </is>
      </c>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is>
          <t>2026-06-05</t>
        </is>
      </c>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is>
          <t>2026-06-23</t>
        </is>
      </c>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is>
          <t>2026-06-23</t>
        </is>
      </c>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is>
          <t>2026-06-23</t>
        </is>
      </c>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is>
          <t>2026-06-23</t>
        </is>
      </c>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is>
          <t>2026-06-23</t>
        </is>
      </c>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2" t="inlineStr">
        <is>
          <t>ISSUE-127</t>
        </is>
      </c>
      <c r="B127" s="2" t="inlineStr">
        <is>
          <t>FR-020 公開用HTMLに UR-011 帰属表示を反映</t>
        </is>
      </c>
      <c r="C127" s="2" t="inlineStr">
        <is>
          <t>公開用HTML(FR-020)は唯一の外部公開成果物だが対応URがUR-006のみで、6.13にattribution記載が無い。FR-019の帰属表示は作業用ビューア向けで別テンプレートの公開用に引き継がれる保証が無い。</t>
        </is>
      </c>
      <c r="D127" s="2" t="inlineStr">
        <is>
          <t>改善</t>
        </is>
      </c>
      <c r="E127" s="3" t="inlineStr">
        <is>
          <t>高</t>
        </is>
      </c>
      <c r="F127" s="2" t="inlineStr">
        <is>
          <t>その他</t>
        </is>
      </c>
      <c r="G127" s="2" t="inlineStr">
        <is>
          <t>Opus</t>
        </is>
      </c>
      <c r="H127" s="2" t="inlineStr">
        <is>
          <t>2026-06-25</t>
        </is>
      </c>
      <c r="I127" s="2" t="inlineStr">
        <is>
          <t>SRS</t>
        </is>
      </c>
      <c r="J127" s="2" t="inlineStr"/>
      <c r="K127" s="2" t="inlineStr">
        <is>
          <t>解決済</t>
        </is>
      </c>
      <c r="L127" s="2" t="inlineStr"/>
      <c r="M127" s="2" t="inlineStr">
        <is>
          <t>FR-020対応URにUR-011追加。6.13にattribution行(© 国土地理院常時＋OSM/OpenTopoMap各表示＋『加工して作成』)明記。UR紐付けのADR要否を判断。</t>
        </is>
      </c>
      <c r="N127" s="2" t="inlineStr"/>
      <c r="O127" s="2" t="inlineStr">
        <is>
          <t>2026-06-25</t>
        </is>
      </c>
      <c r="P127" s="2" t="inlineStr">
        <is>
          <t>2026-06-28</t>
        </is>
      </c>
    </row>
    <row r="128" ht="40" customHeight="1">
      <c r="A128" s="2" t="inlineStr">
        <is>
          <t>ISSUE-128</t>
        </is>
      </c>
      <c r="B128" s="2" t="inlineStr">
        <is>
          <t>公開用HTMLの提供機能・公開情報範囲の定義</t>
        </is>
      </c>
      <c r="C128" s="2"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2" t="inlineStr">
        <is>
          <t>設計</t>
        </is>
      </c>
      <c r="E128" s="3" t="inlineStr">
        <is>
          <t>高</t>
        </is>
      </c>
      <c r="F128" s="2" t="inlineStr">
        <is>
          <t>その他</t>
        </is>
      </c>
      <c r="G128" s="2" t="inlineStr">
        <is>
          <t>Opus</t>
        </is>
      </c>
      <c r="H128" s="2" t="inlineStr">
        <is>
          <t>2026-06-25</t>
        </is>
      </c>
      <c r="I128" s="2" t="inlineStr">
        <is>
          <t>SRS</t>
        </is>
      </c>
      <c r="J128" s="2" t="inlineStr"/>
      <c r="K128" s="2" t="inlineStr">
        <is>
          <t>解決済</t>
        </is>
      </c>
      <c r="L128" s="2" t="inlineStr"/>
      <c r="M128" s="2" t="inlineStr">
        <is>
          <t>公開用に含める閲覧機能の包含規則をFR-020/6.13に明記。内部値露出ポリシー・metadata基準日表示の要否を順に確定(露出判断はADR候補)。</t>
        </is>
      </c>
      <c r="N128" s="2" t="inlineStr"/>
      <c r="O128" s="2" t="inlineStr">
        <is>
          <t>2026-06-25</t>
        </is>
      </c>
      <c r="P128" s="2" t="inlineStr">
        <is>
          <t>2026-06-28</t>
        </is>
      </c>
    </row>
    <row r="129" ht="40" customHeight="1">
      <c r="A129" s="2" t="inlineStr">
        <is>
          <t>ISSUE-129</t>
        </is>
      </c>
      <c r="B129" s="2" t="inlineStr">
        <is>
          <t>公開用エクスポート時の localStorage マージ仕様の明確化</t>
        </is>
      </c>
      <c r="C129" s="2" t="inlineStr">
        <is>
          <t>FR-020はlocalStorageをマージするとあるが、generated_at不一致(前回実行分)時にどの状態(現在のビューア表示状態 vs localStorage生データ)をマージするか未定義。</t>
        </is>
      </c>
      <c r="D129" s="2" t="inlineStr">
        <is>
          <t>改善</t>
        </is>
      </c>
      <c r="E129" s="4" t="inlineStr">
        <is>
          <t>中</t>
        </is>
      </c>
      <c r="F129" s="2" t="inlineStr">
        <is>
          <t>その他</t>
        </is>
      </c>
      <c r="G129" s="2" t="inlineStr">
        <is>
          <t>Opus</t>
        </is>
      </c>
      <c r="H129" s="2" t="inlineStr">
        <is>
          <t>2026-06-25</t>
        </is>
      </c>
      <c r="I129" s="2" t="inlineStr">
        <is>
          <t>SRS</t>
        </is>
      </c>
      <c r="J129" s="2" t="inlineStr"/>
      <c r="K129" s="2" t="inlineStr">
        <is>
          <t>解決済</t>
        </is>
      </c>
      <c r="L129" s="2" t="inlineStr"/>
      <c r="M129" s="2" t="inlineStr">
        <is>
          <t>マージ元を『現在のビューア表示状態のスナップショット』と明記する。</t>
        </is>
      </c>
      <c r="N129" s="2" t="inlineStr"/>
      <c r="O129" s="2" t="inlineStr">
        <is>
          <t>2026-06-25</t>
        </is>
      </c>
      <c r="P129" s="2" t="inlineStr">
        <is>
          <t>2026-06-28</t>
        </is>
      </c>
    </row>
    <row r="130" ht="40" customHeight="1">
      <c r="A130" s="2" t="inlineStr">
        <is>
          <t>ISSUE-130</t>
        </is>
      </c>
      <c r="B130" s="2" t="inlineStr">
        <is>
          <t>公開用 別テンプレート採用の設計判断記録(ADR要否)</t>
        </is>
      </c>
      <c r="C130" s="2" t="inlineStr">
        <is>
          <t>作業用テンプレートを条件分岐させず別ファイルにする設計判断の根拠が未記録。HLDで扱うかADR-SRS化するか未定。</t>
        </is>
      </c>
      <c r="D130" s="2" t="inlineStr">
        <is>
          <t>設計</t>
        </is>
      </c>
      <c r="E130" s="5" t="inlineStr">
        <is>
          <t>低</t>
        </is>
      </c>
      <c r="F130" s="2" t="inlineStr">
        <is>
          <t>その他</t>
        </is>
      </c>
      <c r="G130" s="2" t="inlineStr">
        <is>
          <t>Opus</t>
        </is>
      </c>
      <c r="H130" s="2" t="inlineStr">
        <is>
          <t>2026-06-25</t>
        </is>
      </c>
      <c r="I130" s="2" t="inlineStr">
        <is>
          <t>SRS</t>
        </is>
      </c>
      <c r="J130" s="2" t="inlineStr"/>
      <c r="K130" s="2" t="inlineStr">
        <is>
          <t>解決済</t>
        </is>
      </c>
      <c r="L130" s="2" t="inlineStr"/>
      <c r="M130" s="2" t="inlineStr">
        <is>
          <t>HLD所掌か ADR-SRS 化かを判断し、ADR化なら作成。</t>
        </is>
      </c>
      <c r="N130" s="2" t="inlineStr"/>
      <c r="O130" s="2" t="inlineStr">
        <is>
          <t>2026-06-25</t>
        </is>
      </c>
      <c r="P130" s="2" t="inlineStr">
        <is>
          <t>2026-06-28</t>
        </is>
      </c>
    </row>
    <row r="131" ht="40" customHeight="1">
      <c r="A131" s="2" t="inlineStr">
        <is>
          <t>ISSUE-131</t>
        </is>
      </c>
      <c r="B131" s="2" t="inlineStr">
        <is>
          <t>FR-019: カテゴリ別フィルタ4分類(new/dominant/changed/unchanged)とデータプロパティの対応未定義</t>
        </is>
      </c>
      <c r="C131" s="2"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2" t="inlineStr">
        <is>
          <t>設計</t>
        </is>
      </c>
      <c r="E131" s="3" t="inlineStr">
        <is>
          <t>高</t>
        </is>
      </c>
      <c r="F131" s="2" t="inlineStr">
        <is>
          <t>その他</t>
        </is>
      </c>
      <c r="G131" s="2" t="inlineStr">
        <is>
          <t>Opus</t>
        </is>
      </c>
      <c r="H131" s="2" t="inlineStr">
        <is>
          <t>2026-06-26</t>
        </is>
      </c>
      <c r="I131" s="2" t="inlineStr">
        <is>
          <t>SRS</t>
        </is>
      </c>
      <c r="J131" s="2" t="inlineStr"/>
      <c r="K131" s="2" t="inlineStr">
        <is>
          <t>解決済</t>
        </is>
      </c>
      <c r="L131" s="2" t="inlineStr"/>
      <c r="M131" s="2" t="inlineStr">
        <is>
          <t>FR-009のデータモデルを確認し、4カテゴリ↔プロパティの対応表をFR-019本文に定義。設計判断を含むためADR-SRS候補。</t>
        </is>
      </c>
      <c r="N131" s="2" t="inlineStr"/>
      <c r="O131" s="2" t="inlineStr">
        <is>
          <t>2026-06-26</t>
        </is>
      </c>
      <c r="P131" s="2" t="inlineStr">
        <is>
          <t>2026-06-28</t>
        </is>
      </c>
    </row>
    <row r="132" ht="40" customHeight="1">
      <c r="A132" s="2" t="inlineStr">
        <is>
          <t>ISSUE-132</t>
        </is>
      </c>
      <c r="B132" s="2" t="inlineStr">
        <is>
          <t>FR-019: 出力欄(1109)にFR-012があるがエクスポート経路が本文に無い</t>
        </is>
      </c>
      <c r="C132" s="2"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2" t="inlineStr">
        <is>
          <t>改善</t>
        </is>
      </c>
      <c r="E132" s="3" t="inlineStr">
        <is>
          <t>高</t>
        </is>
      </c>
      <c r="F132" s="2" t="inlineStr">
        <is>
          <t>その他</t>
        </is>
      </c>
      <c r="G132" s="2" t="inlineStr">
        <is>
          <t>Opus</t>
        </is>
      </c>
      <c r="H132" s="2" t="inlineStr">
        <is>
          <t>2026-06-26</t>
        </is>
      </c>
      <c r="I132" s="2" t="inlineStr">
        <is>
          <t>SRS</t>
        </is>
      </c>
      <c r="J132" s="2" t="inlineStr"/>
      <c r="K132" s="2" t="inlineStr">
        <is>
          <t>解決済</t>
        </is>
      </c>
      <c r="L132" s="2" t="inlineStr"/>
      <c r="M132" s="2" t="inlineStr">
        <is>
          <t>FR-012の生成トリガを確定(推定: FR-021エビデンスZIP同梱)し、出力欄・エクスポート記述・FR-021/FR-012本文の整合を取る。</t>
        </is>
      </c>
      <c r="N132" s="2" t="inlineStr"/>
      <c r="O132" s="2" t="inlineStr">
        <is>
          <t>2026-06-26</t>
        </is>
      </c>
      <c r="P132" s="2" t="inlineStr">
        <is>
          <t>2026-06-28</t>
        </is>
      </c>
    </row>
    <row r="133" ht="40" customHeight="1">
      <c r="A133" s="2" t="inlineStr">
        <is>
          <t>ISSUE-133</t>
        </is>
      </c>
      <c r="B133" s="2" t="inlineStr">
        <is>
          <t>FR-019: 検索の自動フィルタON対象にdeleteサミット・key_colのカテゴリ帰属が未定義</t>
        </is>
      </c>
      <c r="C133" s="2"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2" t="inlineStr">
        <is>
          <t>改善</t>
        </is>
      </c>
      <c r="E133" s="4" t="inlineStr">
        <is>
          <t>中</t>
        </is>
      </c>
      <c r="F133" s="2" t="inlineStr">
        <is>
          <t>その他</t>
        </is>
      </c>
      <c r="G133" s="2" t="inlineStr">
        <is>
          <t>Opus</t>
        </is>
      </c>
      <c r="H133" s="2" t="inlineStr">
        <is>
          <t>2026-06-26</t>
        </is>
      </c>
      <c r="I133" s="2" t="inlineStr">
        <is>
          <t>SRS</t>
        </is>
      </c>
      <c r="J133" s="2" t="inlineStr"/>
      <c r="K133" s="2" t="inlineStr">
        <is>
          <t>解決済</t>
        </is>
      </c>
      <c r="L133" s="2" t="inlineStr"/>
      <c r="M133" s="2" t="inlineStr">
        <is>
          <t>delete サミット・key_col を4カテゴリにどう割り当てるか(ISSUE-131と連動)を定義。</t>
        </is>
      </c>
      <c r="N133" s="2" t="inlineStr"/>
      <c r="O133" s="2" t="inlineStr">
        <is>
          <t>2026-06-26</t>
        </is>
      </c>
      <c r="P133" s="2" t="inlineStr">
        <is>
          <t>2026-06-28</t>
        </is>
      </c>
    </row>
    <row r="134" ht="40" customHeight="1">
      <c r="A134" s="2" t="inlineStr">
        <is>
          <t>ISSUE-134</t>
        </is>
      </c>
      <c r="B134" s="2" t="inlineStr">
        <is>
          <t>FR-019: newピーク山岳名入力の必須/任意・未入力時の申請書挙動が未定義</t>
        </is>
      </c>
      <c r="C134" s="2"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2" t="inlineStr">
        <is>
          <t>設計</t>
        </is>
      </c>
      <c r="E134" s="4" t="inlineStr">
        <is>
          <t>中</t>
        </is>
      </c>
      <c r="F134" s="2" t="inlineStr">
        <is>
          <t>その他</t>
        </is>
      </c>
      <c r="G134" s="2" t="inlineStr">
        <is>
          <t>Opus</t>
        </is>
      </c>
      <c r="H134" s="2" t="inlineStr">
        <is>
          <t>2026-06-26</t>
        </is>
      </c>
      <c r="I134" s="2" t="inlineStr">
        <is>
          <t>SRS</t>
        </is>
      </c>
      <c r="J134" s="2" t="inlineStr"/>
      <c r="K134" s="2" t="inlineStr">
        <is>
          <t>解決済</t>
        </is>
      </c>
      <c r="L134" s="2" t="inlineStr"/>
      <c r="M134" s="2" t="inlineStr">
        <is>
          <t>newピーク山岳名の必須/任意と未入力時のFR-011挙動を確定。ADR-SRS候補。</t>
        </is>
      </c>
      <c r="N134" s="2" t="inlineStr"/>
      <c r="O134" s="2" t="inlineStr">
        <is>
          <t>2026-06-26</t>
        </is>
      </c>
      <c r="P134" s="2" t="inlineStr">
        <is>
          <t>2026-06-28</t>
        </is>
      </c>
    </row>
    <row r="135" ht="40" customHeight="1">
      <c r="A135" s="2" t="inlineStr">
        <is>
          <t>ISSUE-135</t>
        </is>
      </c>
      <c r="B135" s="2" t="inlineStr">
        <is>
          <t>地形変化で消滅したサミット（unmatched）の要確認扱い・FR-009 即停止の見直し</t>
        </is>
      </c>
      <c r="C135" s="2"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2" t="inlineStr">
        <is>
          <t>設計</t>
        </is>
      </c>
      <c r="E135" s="3" t="inlineStr">
        <is>
          <t>高</t>
        </is>
      </c>
      <c r="F135" s="2" t="inlineStr">
        <is>
          <t>merge.py</t>
        </is>
      </c>
      <c r="G135" s="2" t="inlineStr">
        <is>
          <t>Opus</t>
        </is>
      </c>
      <c r="H135" s="2" t="inlineStr">
        <is>
          <t>2026-06-27</t>
        </is>
      </c>
      <c r="I135" s="2" t="inlineStr">
        <is>
          <t>SRS</t>
        </is>
      </c>
      <c r="J135" s="2" t="inlineStr"/>
      <c r="K135" s="2" t="inlineStr">
        <is>
          <t>解決済</t>
        </is>
      </c>
      <c r="L135" s="2" t="inlineStr"/>
      <c r="M135" s="2"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2" t="inlineStr">
        <is>
          <t>ユーザー確認済み: 要確認続行＋件数しきい値停止。成果物はSRS/ADR文書のみ（ADR-SRS-011 が採用・未実装のためコード変更なし）。</t>
        </is>
      </c>
      <c r="O135" s="2" t="inlineStr">
        <is>
          <t>2026-06-27</t>
        </is>
      </c>
      <c r="P135" s="2" t="inlineStr">
        <is>
          <t>2026-06-28</t>
        </is>
      </c>
    </row>
    <row r="136" ht="40" customHeight="1">
      <c r="A136" s="2" t="inlineStr">
        <is>
          <t>ISSUE-136</t>
        </is>
      </c>
      <c r="B136" s="2" t="inlineStr">
        <is>
          <t>FR-019 入力表の外部I/F網羅性是正（背景タイル追記）＋網羅性規約の明文化</t>
        </is>
      </c>
      <c r="C136" s="2" t="inlineStr">
        <is>
          <t>FR-019（HTML ビューア機能仕様）の入力テーブルが、実行時取得の外部I/F のうち等高線オーバーレイ／基準点タイルのみを載せ、背景タイル4種（地理院標準・淡色・OSM・OpenTopoMap）を落としていた。全22 FR 中で外部I/F をテーブルから落としているのは FR-019 が唯一。『FR 入出力表は全外部I/F を列挙する』という暗黙規約が未明文化のため逸脱を機械検出できていなかった。</t>
        </is>
      </c>
      <c r="D136" s="2" t="inlineStr">
        <is>
          <t>改善</t>
        </is>
      </c>
      <c r="E136" s="4" t="inlineStr">
        <is>
          <t>中</t>
        </is>
      </c>
      <c r="F136" s="2" t="inlineStr">
        <is>
          <t>その他</t>
        </is>
      </c>
      <c r="G136" s="2" t="inlineStr"/>
      <c r="H136" s="2" t="inlineStr">
        <is>
          <t>2026-06-27</t>
        </is>
      </c>
      <c r="I136" s="2" t="inlineStr">
        <is>
          <t>SRS</t>
        </is>
      </c>
      <c r="J136" s="2" t="inlineStr"/>
      <c r="K136" s="2" t="inlineStr">
        <is>
          <t>解決済</t>
        </is>
      </c>
      <c r="L136" s="2" t="inlineStr"/>
      <c r="M136" s="2" t="inlineStr">
        <is>
          <t>ADR-SRS-038 で網羅性規約と生成FR/実行時I/Fの集約先（FR-019）切り分けを記録。FR-019 入力表に背景タイル行を追記、SOURCES.md に std/pale 出典追加、GLOSSARY 用語追加、docs/CLAUDE.md に規約明文化、spec-panel に横串チェック追加（commit 39b83f5）。</t>
        </is>
      </c>
      <c r="N136" s="2" t="inlineStr"/>
      <c r="O136" s="2" t="inlineStr">
        <is>
          <t>2026-06-27</t>
        </is>
      </c>
      <c r="P136" s="2" t="inlineStr">
        <is>
          <t>2026-06-28</t>
        </is>
      </c>
    </row>
    <row r="137" ht="40" customHeight="1">
      <c r="A137" s="2" t="inlineStr">
        <is>
          <t>ISSUE-137</t>
        </is>
      </c>
      <c r="B137" s="2" t="inlineStr">
        <is>
          <t>モックアップの位置付け明文化と SRS への反映方針（ADR-SRS-039）</t>
        </is>
      </c>
      <c r="C137" s="2" t="inlineStr">
        <is>
          <t>docs/mockup/ が SRS から「画面サンプル」リンクとしてのみ参照され、位置付け（プロトタイプか正式か・更新方針・SRS/HLD/LLD との関係）が未文書化だった。仕様優先原則と整合する形で、モックアップを UI 確定用プロトタイプ（正は仕様書）と位置付け、観測挙動→SRS／実装具体値→HLD/LLD の反映粒度を定める必要があった。</t>
        </is>
      </c>
      <c r="D137" s="2" t="inlineStr">
        <is>
          <t>改善</t>
        </is>
      </c>
      <c r="E137" s="4" t="inlineStr">
        <is>
          <t>中</t>
        </is>
      </c>
      <c r="F137" s="2" t="inlineStr">
        <is>
          <t>その他</t>
        </is>
      </c>
      <c r="G137" s="2" t="inlineStr"/>
      <c r="H137" s="2" t="inlineStr">
        <is>
          <t>2026-06-27</t>
        </is>
      </c>
      <c r="I137" s="2" t="inlineStr">
        <is>
          <t>SRS</t>
        </is>
      </c>
      <c r="J137" s="2" t="inlineStr"/>
      <c r="K137" s="2" t="inlineStr">
        <is>
          <t>解決済</t>
        </is>
      </c>
      <c r="L137" s="2" t="inlineStr"/>
      <c r="M137" s="2" t="inlineStr">
        <is>
          <t>ADR-SRS-039 を作成し位置付けと反映方針を記録。SRS §6.6/§6.13 に注記・ADR 参照、既定背景タイルを明示、GLOSSARY 用語追加、docs/CLAUDE.md に運用ルール追加（commit a6426f8）。反映範囲 A（位置付け明文化＋SRS不足分のみ）。HLD 作成・mockup サンプルデータ修正はスコープ外。</t>
        </is>
      </c>
      <c r="N137" s="2" t="inlineStr"/>
      <c r="O137" s="2" t="inlineStr">
        <is>
          <t>2026-06-27</t>
        </is>
      </c>
      <c r="P137" s="2" t="inlineStr">
        <is>
          <t>2026-06-28</t>
        </is>
      </c>
    </row>
    <row r="138" ht="40" customHeight="1">
      <c r="A138" s="2" t="inlineStr">
        <is>
          <t>ISSUE-138</t>
        </is>
      </c>
      <c r="B138" s="2" t="inlineStr">
        <is>
          <t>main文書からの内部トラッカーID（ISSUE-XXX）排除と lint 検査追加</t>
        </is>
      </c>
      <c r="C138" s="2" t="inlineStr">
        <is>
          <t>mgmt/tracker/ は release 時に git rm -r mgmt/ で main から除外されるが、docs に ISSUE-094 等の内部トラッカー ID がテキストとして散在（40件）しており、第三者が main を見たとき辿れず意味をなさない。docs 全体から ISSUE-ID を排除し、scripts/lint_docs.py に検査C（ISSUE-\d+ / mgmt/ パス参照検出）を追加して再発防止する。</t>
        </is>
      </c>
      <c r="D138" s="2" t="inlineStr">
        <is>
          <t>改善</t>
        </is>
      </c>
      <c r="E138" s="4" t="inlineStr">
        <is>
          <t>中</t>
        </is>
      </c>
      <c r="F138" s="2" t="inlineStr"/>
      <c r="G138" s="2" t="inlineStr">
        <is>
          <t>Sonnet</t>
        </is>
      </c>
      <c r="H138" s="2" t="inlineStr">
        <is>
          <t>2026-06-27</t>
        </is>
      </c>
      <c r="I138" s="2" t="inlineStr">
        <is>
          <t>COD</t>
        </is>
      </c>
      <c r="J138" s="2" t="inlineStr"/>
      <c r="K138" s="2" t="inlineStr">
        <is>
          <t>解決済</t>
        </is>
      </c>
      <c r="L138" s="2" t="inlineStr"/>
      <c r="M138" s="2" t="inlineStr">
        <is>
          <t>タスク1: ADR-SRS-040 作成（排除方針記録）、タスク2: ADR-SRS-018 の Markdown リンク2件をテキスト化、タスク3: docs 全体の ISSUE-ID 除去（40件）＋ research ファイル git mv、タスク4: lint 検査C 追加、タスク5: docs/CLAUDE.md にルール明文化</t>
        </is>
      </c>
      <c r="N138" s="2" t="inlineStr"/>
      <c r="O138" s="2" t="inlineStr">
        <is>
          <t>2026-06-27</t>
        </is>
      </c>
      <c r="P138" s="2" t="inlineStr">
        <is>
          <t>2026-06-28</t>
        </is>
      </c>
    </row>
    <row r="139" ht="40" customHeight="1">
      <c r="A139" s="2" t="inlineStr">
        <is>
          <t>ISSUE-139</t>
        </is>
      </c>
      <c r="B139" s="2" t="inlineStr">
        <is>
          <t>FR-012 出力カラムと merged_summit.geojson スキーマの整合（案A: geojson スキーマ拡張）</t>
        </is>
      </c>
      <c r="C139" s="2" t="inlineStr">
        <is>
          <t>spec-panel FR-012 レビュー（指摘①・高）: FR-012 の出力カラムのうち col_margin_px・analysis_count・expected_count・municipality・dominant_peak_code・dominant_peak_dist_m の6件が merged_summit.geojson スキーマ（FR-009 スキーマ正本）に存在しない。FR-012 はブラウザ内生成で geojson のみを入力とするため、これらの値を取得できずカラムを生成不能。案A: FR-009 が出力する merged_summit.geojson スキーマに不足プロパティを追加し、FR-012 が geojson のみで両 XLSX と同一カラムを生成できるようにする。ADR 作成・SRS FR-009 スキーマ拡張が必要。</t>
        </is>
      </c>
      <c r="D139" s="2" t="inlineStr">
        <is>
          <t>設計</t>
        </is>
      </c>
      <c r="E139" s="3" t="inlineStr">
        <is>
          <t>高</t>
        </is>
      </c>
      <c r="F139" s="2" t="inlineStr"/>
      <c r="G139" s="2" t="inlineStr">
        <is>
          <t>Sonnet 4.6</t>
        </is>
      </c>
      <c r="H139" s="2" t="inlineStr">
        <is>
          <t>2026-06-28</t>
        </is>
      </c>
      <c r="I139" s="2" t="inlineStr">
        <is>
          <t>SRS</t>
        </is>
      </c>
      <c r="J139" s="2" t="inlineStr"/>
      <c r="K139" s="2" t="inlineStr">
        <is>
          <t>解決済</t>
        </is>
      </c>
      <c r="L139" s="2" t="inlineStr"/>
      <c r="M139" s="2" t="inlineStr"/>
      <c r="N139" s="2" t="inlineStr">
        <is>
          <t>【設計確定・ADR 作成済み後 close】ユーザー承認: 案A（geojson スキーマ拡張）。計画: mgmt/plan.md タスク2-3</t>
        </is>
      </c>
      <c r="O139" s="2" t="inlineStr">
        <is>
          <t>2026-06-28</t>
        </is>
      </c>
      <c r="P139" s="2" t="inlineStr">
        <is>
          <t>2026-06-28</t>
        </is>
      </c>
    </row>
    <row r="140" ht="40" customHeight="1">
      <c r="A140" s="6" t="inlineStr">
        <is>
          <t>ISSUE-140</t>
        </is>
      </c>
      <c r="B140" s="6" t="inlineStr">
        <is>
          <t>key_col_unresolved_peaks-N.csv のカラム定義（スキーマ）を FR-022 出力テーブル／§7.2.1 に追加</t>
        </is>
      </c>
      <c r="C140" s="6" t="inlineStr">
        <is>
          <t>FR-022 の出力テーブルおよび §7.2.1 No.7 に key_col_unresolved_peaks-N.csv のカラム定義が存在しない。FR-014 入力備考に「key_col_resolved=false のピーク群・緯度経度」と略記されているだけで、公式のカラム一覧定義がない。per-mesh CSV（FR-007 出力参照リンク）・merged_peak.csv（FR-008）と同様の定義レベルが必要。</t>
        </is>
      </c>
      <c r="D140" s="6" t="inlineStr">
        <is>
          <t>設計</t>
        </is>
      </c>
      <c r="E140" s="3" t="inlineStr">
        <is>
          <t>高</t>
        </is>
      </c>
      <c r="F140" s="6" t="inlineStr">
        <is>
          <t>その他</t>
        </is>
      </c>
      <c r="G140" s="6" t="inlineStr"/>
      <c r="H140" s="6" t="inlineStr">
        <is>
          <t>2026-06-28</t>
        </is>
      </c>
      <c r="I140" s="6" t="inlineStr">
        <is>
          <t>SRS</t>
        </is>
      </c>
      <c r="J140" s="6" t="inlineStr"/>
      <c r="K140" s="6" t="inlineStr">
        <is>
          <t>対応完了</t>
        </is>
      </c>
      <c r="L140" s="6" t="inlineStr"/>
      <c r="M140" s="6" t="inlineStr">
        <is>
          <t>カラムを確定し（最低限 peak_lat, peak_lon。追加列があれば明示）、FR-022 出力テーブル備考欄か §7.2.2 に定義セクションを追加する。FR-014 入力備考欄も整合させる。</t>
        </is>
      </c>
      <c r="N140" s="6" t="inlineStr"/>
      <c r="O140" s="6" t="inlineStr">
        <is>
          <t>2026-06-28</t>
        </is>
      </c>
      <c r="P140" s="6" t="inlineStr"/>
    </row>
    <row r="141" ht="40" customHeight="1">
      <c r="A141" s="7" t="inlineStr">
        <is>
          <t>ISSUE-141</t>
        </is>
      </c>
      <c r="B141" s="7" t="inlineStr">
        <is>
          <t>FR-022 異常系定義の追加（入力 CSV 不存在・空ピーク時の挙動）</t>
        </is>
      </c>
      <c r="C141" s="7" t="inlineStr">
        <is>
          <t>FR-022 に異常系定義がない。FR-014・FR-004 等は「異常系」セクションを持つが FR-022 には存在しない。「merged_peak.csv が存在しない場合」「CSV が空（0件ピーク）の場合」の挙動が未定義。空ピークの場合は「ゼロ件 = 全充足」として正常終了してフェーズ4へ進んでよいかの設計判断も必要。</t>
        </is>
      </c>
      <c r="D141" s="7" t="inlineStr">
        <is>
          <t>設計</t>
        </is>
      </c>
      <c r="E141" s="4" t="inlineStr">
        <is>
          <t>中</t>
        </is>
      </c>
      <c r="F141" s="7" t="inlineStr">
        <is>
          <t>その他</t>
        </is>
      </c>
      <c r="G141" s="7" t="inlineStr"/>
      <c r="H141" s="7" t="inlineStr">
        <is>
          <t>2026-06-28</t>
        </is>
      </c>
      <c r="I141" s="7" t="inlineStr">
        <is>
          <t>SRS</t>
        </is>
      </c>
      <c r="J141" s="7" t="inlineStr"/>
      <c r="K141" s="7" t="inlineStr">
        <is>
          <t>対応完了</t>
        </is>
      </c>
      <c r="L141" s="7" t="inlineStr"/>
      <c r="M141" s="7" t="inlineStr">
        <is>
          <t>FR-022 説明に「異常系」セクションを追加。「入力 CSV が存在しない場合はエラー終了（FR-023 に伝播）」「ピーク0件（空 CSV）の場合は「ゼロ」を返し正常終了（フェーズ4へ進む）」の方針を確定して記述する。</t>
        </is>
      </c>
      <c r="N141" s="7" t="inlineStr"/>
      <c r="O141" s="7" t="inlineStr">
        <is>
          <t>2026-06-28</t>
        </is>
      </c>
      <c r="P141" s="7" t="inlineStr"/>
    </row>
    <row r="142" ht="40" customHeight="1">
      <c r="A142" s="6" t="inlineStr">
        <is>
          <t>ISSUE-142</t>
        </is>
      </c>
      <c r="B142" s="6" t="inlineStr">
        <is>
          <t>FR-023 の下位 FR エラー時のエラー伝播方針を SRS に明記</t>
        </is>
      </c>
      <c r="C142" s="6" t="inlineStr">
        <is>
          <t>FR-023 の説明に、下位 FR（FR-004・FR-014・FR-008・FR-018・FR-022 等）が異常終了した場合の挙動が記述されていない。シェルスクリプトとして即時終了（エラー伝播）するかどうかの方針が不明。スキップして継続する設計も考えられるが、フェイルファースト原則（lessons.md 参照）に照らせば即時終了が適切と推定される。</t>
        </is>
      </c>
      <c r="D142" s="6" t="inlineStr">
        <is>
          <t>設計</t>
        </is>
      </c>
      <c r="E142" s="4" t="inlineStr">
        <is>
          <t>中</t>
        </is>
      </c>
      <c r="F142" s="6" t="inlineStr">
        <is>
          <t>その他</t>
        </is>
      </c>
      <c r="G142" s="6" t="inlineStr"/>
      <c r="H142" s="6" t="inlineStr">
        <is>
          <t>2026-06-28</t>
        </is>
      </c>
      <c r="I142" s="6" t="inlineStr">
        <is>
          <t>SRS</t>
        </is>
      </c>
      <c r="J142" s="6" t="inlineStr"/>
      <c r="K142" s="6" t="inlineStr">
        <is>
          <t>対応完了</t>
        </is>
      </c>
      <c r="L142" s="6" t="inlineStr"/>
      <c r="M142" s="6" t="inlineStr">
        <is>
          <t>方針を確定し（推奨: 即時終了・エラー伝播）、FR-023 説明のループ終了条件周辺に「呼び出した FR がエラー終了した場合は FR-023 も即時終了する」旨を追記する。</t>
        </is>
      </c>
      <c r="N142" s="6" t="inlineStr"/>
      <c r="O142" s="6" t="inlineStr">
        <is>
          <t>2026-06-28</t>
        </is>
      </c>
      <c r="P142" s="6" t="inlineStr"/>
    </row>
    <row r="143" ht="40" customHeight="1">
      <c r="A143" s="7" t="inlineStr">
        <is>
          <t>ISSUE-143</t>
        </is>
      </c>
      <c r="B143" s="7" t="inlineStr">
        <is>
          <t>FR-020: NFR-010（描画応答性）スコープに公開用 HTML を含めるか確認・RTM 更新</t>
        </is>
      </c>
      <c r="C143" s="7" t="inlineStr">
        <is>
          <t>spec-panel FR-020 レビュー指摘③。NFR-010（描画応答性・連続操作の滑らかさ）は「本 NFR は HTML ビューア（FR-013）のマーカー描画に適用する」と FR-013 のみに限定されている。公開用 HTML（FR-020）も同規模（最大1万件）のマーカーを表示するビューアであり、60fps の描画応答性要件が同様に適用されるべきかどうかを確認する必要がある。RTM でも FR-020 → UR-014 のマッピングが欠落している。</t>
        </is>
      </c>
      <c r="D143" s="7" t="inlineStr">
        <is>
          <t>設計</t>
        </is>
      </c>
      <c r="E143" s="4" t="inlineStr">
        <is>
          <t>中</t>
        </is>
      </c>
      <c r="F143" s="7" t="inlineStr">
        <is>
          <t>その他</t>
        </is>
      </c>
      <c r="G143" s="7" t="inlineStr">
        <is>
          <t>Sonnet</t>
        </is>
      </c>
      <c r="H143" s="7" t="inlineStr">
        <is>
          <t>2026-06-28</t>
        </is>
      </c>
      <c r="I143" s="7" t="inlineStr">
        <is>
          <t>SRS</t>
        </is>
      </c>
      <c r="J143" s="7" t="inlineStr"/>
      <c r="K143" s="7" t="inlineStr">
        <is>
          <t>対応完了</t>
        </is>
      </c>
      <c r="L143" s="7" t="inlineStr"/>
      <c r="M143" s="7" t="inlineStr">
        <is>
          <t>NFR-010 のスコープを FR-020 にも明示的に拡張する（「HTML ビューア（FR-013・FR-020）のマーカー描画に適用する」）か、FR-013 と同等の要件が FR-020 に引き継がれることを NFR-010 本文または ADR に明記するかを選択し、RTM の FR-020 行 UR-014 列に ✅ を追記する。</t>
        </is>
      </c>
      <c r="N143" s="7" t="inlineStr"/>
      <c r="O143" s="7" t="inlineStr">
        <is>
          <t>2026-06-28</t>
        </is>
      </c>
      <c r="P143" s="7" t="inlineStr"/>
    </row>
    <row r="144" ht="40" customHeight="1">
      <c r="A144" s="6" t="inlineStr">
        <is>
          <t>ISSUE-144</t>
        </is>
      </c>
      <c r="B144" s="6" t="inlineStr">
        <is>
          <t>FR-017 生成1（60地域GeoJSON）への北方領土ポリゴン含有の扱いを明示</t>
        </is>
      </c>
      <c r="C144" s="6" t="inlineStr">
        <is>
          <t>FR-017 §生成1（60地域GeoJSON）を作成する際、北方領土6村（N03_007: 01695〜01700）のポリゴンを dissolve 対象に含めるか除外するかが未定義。生成3（北方領土除外タイルリスト）は同コードを抽出して別途処理するが、生成1の dissolve 処理で除外するか残すかが記述されていない。含めたままにすると FR-009 でのエリアコード付与対象に北方領土のポリゴン範囲が残るが、北方領土のピーク候補は FR-001 タイル取得スキップにより解析結果に流れ込まない設計のため実害はない。ただし設計意図が読み取れない状態であり、実装者が迷う可能性がある。</t>
        </is>
      </c>
      <c r="D144" s="6" t="inlineStr">
        <is>
          <t>設計</t>
        </is>
      </c>
      <c r="E144" s="4" t="inlineStr">
        <is>
          <t>中</t>
        </is>
      </c>
      <c r="F144" s="6" t="inlineStr">
        <is>
          <t>その他</t>
        </is>
      </c>
      <c r="G144" s="6" t="inlineStr">
        <is>
          <t>Sonnet</t>
        </is>
      </c>
      <c r="H144" s="6" t="inlineStr">
        <is>
          <t>2026-06-28</t>
        </is>
      </c>
      <c r="I144" s="6" t="inlineStr">
        <is>
          <t>SRS</t>
        </is>
      </c>
      <c r="J144" s="6" t="inlineStr"/>
      <c r="K144" s="6" t="inlineStr">
        <is>
          <t>未対応</t>
        </is>
      </c>
      <c r="L144" s="6" t="inlineStr"/>
      <c r="M144" s="6" t="inlineStr">
        <is>
          <t>「生成1では北方領土ポリゴンを dissolve 対象に含める（除外は生成3＋FR-001 で完結しているため重複除外は不要）」または「生成3と同一条件で生成1から除外する」どちらかを決定し、FR-017 §生成1 の説明文に明記する。</t>
        </is>
      </c>
      <c r="N144" s="6" t="inlineStr"/>
      <c r="O144" s="6" t="inlineStr"/>
      <c r="P144" s="6" t="inlineStr"/>
    </row>
    <row r="145" ht="40" customHeight="1">
      <c r="A145" s="7" t="inlineStr">
        <is>
          <t>ISSUE-145</t>
        </is>
      </c>
      <c r="B145" s="7" t="inlineStr">
        <is>
          <t>FR-017 生成1 dissolve の出力形状（MultiPolygon 可否）を明示</t>
        </is>
      </c>
      <c r="C145" s="7" t="inlineStr">
        <is>
          <t>FR-017 §生成1（行282）に「1地域1ポリゴンに集約」と記述されているが、沖縄・鹿児島等の離島は本島と隣接しないため dissolve の自然な結果は MultiPolygon になる。「1ポリゴン」が MultiPolygon 許容なのか厳密に単一 Polygon なのかが未定義。FR-009 での point-in-polygon 処理の実装時（GeoJSON ライブラリの扱い）に影響する。</t>
        </is>
      </c>
      <c r="D145" s="7" t="inlineStr">
        <is>
          <t>設計</t>
        </is>
      </c>
      <c r="E145" s="4" t="inlineStr">
        <is>
          <t>中</t>
        </is>
      </c>
      <c r="F145" s="7" t="inlineStr">
        <is>
          <t>その他</t>
        </is>
      </c>
      <c r="G145" s="7" t="inlineStr">
        <is>
          <t>Sonnet</t>
        </is>
      </c>
      <c r="H145" s="7" t="inlineStr">
        <is>
          <t>2026-06-28</t>
        </is>
      </c>
      <c r="I145" s="7" t="inlineStr">
        <is>
          <t>SRS</t>
        </is>
      </c>
      <c r="J145" s="7" t="inlineStr"/>
      <c r="K145" s="7" t="inlineStr">
        <is>
          <t>未対応</t>
        </is>
      </c>
      <c r="L145" s="7" t="inlineStr"/>
      <c r="M145" s="7" t="inlineStr">
        <is>
          <t>「1フィーチャ（MultiPolygon 許容）に集約」として SRS の記述「1地域1ポリゴン」を「1地域1フィーチャ（MultiPolygon 許容）」に更新することを推奨する。離島を含む都府県は必然的に MultiPolygon になるため単一 Polygon への厳密化は現実的でない。</t>
        </is>
      </c>
      <c r="N145" s="7" t="inlineStr"/>
      <c r="O145" s="7" t="inlineStr"/>
      <c r="P145" s="7" t="inlineStr"/>
    </row>
    <row r="146" ht="40" customHeight="1">
      <c r="A146" s="6" t="inlineStr">
        <is>
          <t>ISSUE-146</t>
        </is>
      </c>
      <c r="B146" s="6" t="inlineStr">
        <is>
          <t>FR-017 再実行条件（N03 ZIP 差し替え時）の SRS 記載 vs HLD 委任を判断</t>
        </is>
      </c>
      <c r="C146" s="6" t="inlineStr">
        <is>
          <t>FR-017 §実行タイミング（行276）は「初回のみ。出力ファイル群が未生成の場合に起動する」と定義しているが、N03 ZIP を新年版に差し替えた場合の再実行手順が未定義。「出力ファイルを削除してから再実行する」という操作手順を SRS 段階で明記するか、HLD に完全委任するかを決める必要がある。</t>
        </is>
      </c>
      <c r="D146" s="6" t="inlineStr">
        <is>
          <t>設計</t>
        </is>
      </c>
      <c r="E146" s="5" t="inlineStr">
        <is>
          <t>低</t>
        </is>
      </c>
      <c r="F146" s="6" t="inlineStr">
        <is>
          <t>その他</t>
        </is>
      </c>
      <c r="G146" s="6" t="inlineStr">
        <is>
          <t>Sonnet</t>
        </is>
      </c>
      <c r="H146" s="6" t="inlineStr">
        <is>
          <t>2026-06-28</t>
        </is>
      </c>
      <c r="I146" s="6" t="inlineStr">
        <is>
          <t>SRS</t>
        </is>
      </c>
      <c r="J146" s="6" t="inlineStr"/>
      <c r="K146" s="6" t="inlineStr">
        <is>
          <t>未対応</t>
        </is>
      </c>
      <c r="L146" s="6" t="inlineStr"/>
      <c r="M146" s="6" t="inlineStr">
        <is>
          <t>SRS に「出力ファイルを手動削除することで再実行できる（詳細は HLD 参照）」程度の一文を追加する方向を推奨する。完全 HLD 委任とする場合は FR-017 §実行タイミングに『再実行はHLD参照』の一文を追記する。</t>
        </is>
      </c>
      <c r="N146" s="6" t="inlineStr"/>
      <c r="O146" s="6" t="inlineStr"/>
      <c r="P146" s="6" t="inlineStr"/>
    </row>
  </sheetData>
  <dataValidations count="5">
    <dataValidation sqref="K2:K146" showDropDown="0" showInputMessage="0" showErrorMessage="0" allowBlank="1" type="list">
      <formula1>"未対応,対応中,対応完了,解決済,却下"</formula1>
    </dataValidation>
    <dataValidation sqref="E2:E146" showDropDown="0" showInputMessage="0" showErrorMessage="0" allowBlank="1" type="list">
      <formula1>"高,中,低"</formula1>
    </dataValidation>
    <dataValidation sqref="D2:D146" showDropDown="0" showInputMessage="0" showErrorMessage="0" allowBlank="1" type="list">
      <formula1>"改善,調査,設計"</formula1>
    </dataValidation>
    <dataValidation sqref="I2:I146" showDropDown="0" showInputMessage="0" showErrorMessage="0" allowBlank="1" type="list">
      <formula1>"URD,SRS,HLD,LLD,COD,UT,IT,ST,OPS"</formula1>
    </dataValidation>
    <dataValidation sqref="J2:J146"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145</v>
      </c>
    </row>
    <row r="3">
      <c r="A3" s="10" t="inlineStr">
        <is>
          <t>未解決件数</t>
        </is>
      </c>
      <c r="B3" s="11" t="n">
        <v>26</v>
      </c>
    </row>
    <row r="4">
      <c r="A4" s="10" t="inlineStr">
        <is>
          <t>解決済件数</t>
        </is>
      </c>
      <c r="B4" s="11" t="n">
        <v>102</v>
      </c>
    </row>
    <row r="5">
      <c r="A5" s="10" t="inlineStr">
        <is>
          <t>解決率</t>
        </is>
      </c>
      <c r="B5" s="11" t="inlineStr">
        <is>
          <t>70.3%</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4</v>
      </c>
    </row>
    <row r="11">
      <c r="A11" s="10" t="inlineStr">
        <is>
          <t>解決済</t>
        </is>
      </c>
      <c r="B11" s="11" t="n">
        <v>102</v>
      </c>
    </row>
    <row r="12">
      <c r="A12" s="10" t="inlineStr">
        <is>
          <t>却下</t>
        </is>
      </c>
      <c r="B12" s="11" t="n">
        <v>17</v>
      </c>
    </row>
    <row r="14">
      <c r="A14" s="8" t="inlineStr">
        <is>
          <t>優先度別（未解決）</t>
        </is>
      </c>
      <c r="B14" s="9" t="n"/>
    </row>
    <row r="15">
      <c r="A15" s="10" t="inlineStr">
        <is>
          <t>高</t>
        </is>
      </c>
      <c r="B15" s="11" t="n">
        <v>8</v>
      </c>
    </row>
    <row r="16">
      <c r="A16" s="10" t="inlineStr">
        <is>
          <t>中</t>
        </is>
      </c>
      <c r="B16" s="11" t="n">
        <v>14</v>
      </c>
    </row>
    <row r="17">
      <c r="A17" s="10" t="inlineStr">
        <is>
          <t>低</t>
        </is>
      </c>
      <c r="B17" s="11" t="n">
        <v>4</v>
      </c>
    </row>
    <row r="19">
      <c r="A19" s="8" t="inlineStr">
        <is>
          <t>種別別（未解決）</t>
        </is>
      </c>
      <c r="B19" s="9" t="n"/>
    </row>
    <row r="20">
      <c r="A20" s="10" t="inlineStr">
        <is>
          <t>改善</t>
        </is>
      </c>
      <c r="B20" s="11" t="n">
        <v>12</v>
      </c>
    </row>
    <row r="21">
      <c r="A21" s="10" t="inlineStr">
        <is>
          <t>調査</t>
        </is>
      </c>
      <c r="B21" s="11" t="n">
        <v>1</v>
      </c>
    </row>
    <row r="22">
      <c r="A22" s="10" t="inlineStr">
        <is>
          <t>設計</t>
        </is>
      </c>
      <c r="B22" s="11" t="n">
        <v>13</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2</v>
      </c>
    </row>
    <row r="28">
      <c r="A28" s="10" t="inlineStr">
        <is>
          <t>その他</t>
        </is>
      </c>
      <c r="B28" s="11" t="n">
        <v>8</v>
      </c>
    </row>
    <row r="30">
      <c r="A30" s="8" t="inlineStr">
        <is>
          <t>ステージ別（未解決）</t>
        </is>
      </c>
      <c r="B30" s="9" t="n"/>
    </row>
    <row r="31">
      <c r="A31" s="10" t="inlineStr">
        <is>
          <t>SRS</t>
        </is>
      </c>
      <c r="B31" s="11" t="n">
        <v>22</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35</v>
      </c>
      <c r="D28" t="n">
        <v>35</v>
      </c>
    </row>
    <row r="29">
      <c r="A29" t="inlineStr">
        <is>
          <t>2026-05-24</t>
        </is>
      </c>
      <c r="B29" t="n">
        <v>55</v>
      </c>
      <c r="C29" t="n">
        <v>37</v>
      </c>
      <c r="D29" t="n">
        <v>37</v>
      </c>
    </row>
    <row r="30">
      <c r="A30" t="inlineStr">
        <is>
          <t>2026-05-25</t>
        </is>
      </c>
      <c r="B30" t="n">
        <v>56</v>
      </c>
      <c r="C30" t="n">
        <v>37</v>
      </c>
      <c r="D30" t="n">
        <v>37</v>
      </c>
    </row>
    <row r="31">
      <c r="A31" t="inlineStr">
        <is>
          <t>2026-05-26</t>
        </is>
      </c>
      <c r="B31" t="n">
        <v>56</v>
      </c>
      <c r="C31" t="n">
        <v>37</v>
      </c>
      <c r="D31" t="n">
        <v>37</v>
      </c>
    </row>
    <row r="32">
      <c r="A32" t="inlineStr">
        <is>
          <t>2026-05-27</t>
        </is>
      </c>
      <c r="B32" t="n">
        <v>56</v>
      </c>
      <c r="C32" t="n">
        <v>37</v>
      </c>
      <c r="D32" t="n">
        <v>37</v>
      </c>
    </row>
    <row r="33">
      <c r="A33" t="inlineStr">
        <is>
          <t>2026-05-28</t>
        </is>
      </c>
      <c r="B33" t="n">
        <v>56</v>
      </c>
      <c r="C33" t="n">
        <v>38</v>
      </c>
      <c r="D33" t="n">
        <v>38</v>
      </c>
    </row>
    <row r="34">
      <c r="A34" t="inlineStr">
        <is>
          <t>2026-05-29</t>
        </is>
      </c>
      <c r="B34" t="n">
        <v>62</v>
      </c>
      <c r="C34" t="n">
        <v>41</v>
      </c>
      <c r="D34" t="n">
        <v>41</v>
      </c>
    </row>
    <row r="35">
      <c r="A35" t="inlineStr">
        <is>
          <t>2026-05-30</t>
        </is>
      </c>
      <c r="B35" t="n">
        <v>62</v>
      </c>
      <c r="C35" t="n">
        <v>41</v>
      </c>
      <c r="D35" t="n">
        <v>41</v>
      </c>
    </row>
    <row r="36">
      <c r="A36" t="inlineStr">
        <is>
          <t>2026-05-31</t>
        </is>
      </c>
      <c r="B36" t="n">
        <v>68</v>
      </c>
      <c r="C36" t="n">
        <v>43</v>
      </c>
      <c r="D36" t="n">
        <v>43</v>
      </c>
    </row>
    <row r="37">
      <c r="A37" t="inlineStr">
        <is>
          <t>2026-06-01</t>
        </is>
      </c>
      <c r="B37" t="n">
        <v>69</v>
      </c>
      <c r="C37" t="n">
        <v>44</v>
      </c>
      <c r="D37" t="n">
        <v>44</v>
      </c>
    </row>
    <row r="38">
      <c r="A38" t="inlineStr">
        <is>
          <t>2026-06-02</t>
        </is>
      </c>
      <c r="B38" t="n">
        <v>73</v>
      </c>
      <c r="C38" t="n">
        <v>44</v>
      </c>
      <c r="D38" t="n">
        <v>44</v>
      </c>
    </row>
    <row r="39">
      <c r="A39" t="inlineStr">
        <is>
          <t>2026-06-03</t>
        </is>
      </c>
      <c r="B39" t="n">
        <v>73</v>
      </c>
      <c r="C39" t="n">
        <v>44</v>
      </c>
      <c r="D39" t="n">
        <v>44</v>
      </c>
    </row>
    <row r="40">
      <c r="A40" t="inlineStr">
        <is>
          <t>2026-06-04</t>
        </is>
      </c>
      <c r="B40" t="n">
        <v>76</v>
      </c>
      <c r="C40" t="n">
        <v>44</v>
      </c>
      <c r="D40" t="n">
        <v>44</v>
      </c>
    </row>
    <row r="41">
      <c r="A41" t="inlineStr">
        <is>
          <t>2026-06-05</t>
        </is>
      </c>
      <c r="B41" t="n">
        <v>79</v>
      </c>
      <c r="C41" t="n">
        <v>46</v>
      </c>
      <c r="D41" t="n">
        <v>46</v>
      </c>
    </row>
    <row r="42">
      <c r="A42" t="inlineStr">
        <is>
          <t>2026-06-06</t>
        </is>
      </c>
      <c r="B42" t="n">
        <v>80</v>
      </c>
      <c r="C42" t="n">
        <v>47</v>
      </c>
      <c r="D42" t="n">
        <v>47</v>
      </c>
    </row>
    <row r="43">
      <c r="A43" t="inlineStr">
        <is>
          <t>2026-06-07</t>
        </is>
      </c>
      <c r="B43" t="n">
        <v>81</v>
      </c>
      <c r="C43" t="n">
        <v>59</v>
      </c>
      <c r="D43" t="n">
        <v>59</v>
      </c>
    </row>
    <row r="44">
      <c r="A44" t="inlineStr">
        <is>
          <t>2026-06-08</t>
        </is>
      </c>
      <c r="B44" t="n">
        <v>86</v>
      </c>
      <c r="C44" t="n">
        <v>59</v>
      </c>
      <c r="D44" t="n">
        <v>59</v>
      </c>
    </row>
    <row r="45">
      <c r="A45" t="inlineStr">
        <is>
          <t>2026-06-09</t>
        </is>
      </c>
      <c r="B45" t="n">
        <v>87</v>
      </c>
      <c r="C45" t="n">
        <v>60</v>
      </c>
      <c r="D45" t="n">
        <v>59</v>
      </c>
    </row>
    <row r="46">
      <c r="A46" t="inlineStr">
        <is>
          <t>2026-06-10</t>
        </is>
      </c>
      <c r="B46" t="n">
        <v>87</v>
      </c>
      <c r="C46" t="n">
        <v>60</v>
      </c>
      <c r="D46" t="n">
        <v>59</v>
      </c>
    </row>
    <row r="47">
      <c r="A47" t="inlineStr">
        <is>
          <t>2026-06-11</t>
        </is>
      </c>
      <c r="B47" t="n">
        <v>88</v>
      </c>
      <c r="C47" t="n">
        <v>61</v>
      </c>
      <c r="D47" t="n">
        <v>59</v>
      </c>
    </row>
    <row r="48">
      <c r="A48" t="inlineStr">
        <is>
          <t>2026-06-12</t>
        </is>
      </c>
      <c r="B48" t="n">
        <v>91</v>
      </c>
      <c r="C48" t="n">
        <v>68</v>
      </c>
      <c r="D48" t="n">
        <v>59</v>
      </c>
    </row>
    <row r="49">
      <c r="A49" t="inlineStr">
        <is>
          <t>2026-06-13</t>
        </is>
      </c>
      <c r="B49" t="n">
        <v>91</v>
      </c>
      <c r="C49" t="n">
        <v>69</v>
      </c>
      <c r="D49" t="n">
        <v>68</v>
      </c>
    </row>
    <row r="50">
      <c r="A50" t="inlineStr">
        <is>
          <t>2026-06-14</t>
        </is>
      </c>
      <c r="B50" t="n">
        <v>96</v>
      </c>
      <c r="C50" t="n">
        <v>74</v>
      </c>
      <c r="D50" t="n">
        <v>71</v>
      </c>
    </row>
    <row r="51">
      <c r="A51" t="inlineStr">
        <is>
          <t>2026-06-15</t>
        </is>
      </c>
      <c r="B51" t="n">
        <v>101</v>
      </c>
      <c r="C51" t="n">
        <v>79</v>
      </c>
      <c r="D51" t="n">
        <v>76</v>
      </c>
    </row>
    <row r="52">
      <c r="A52" t="inlineStr">
        <is>
          <t>2026-06-16</t>
        </is>
      </c>
      <c r="B52" t="n">
        <v>105</v>
      </c>
      <c r="C52" t="n">
        <v>82</v>
      </c>
      <c r="D52" t="n">
        <v>76</v>
      </c>
    </row>
    <row r="53">
      <c r="A53" t="inlineStr">
        <is>
          <t>2026-06-17</t>
        </is>
      </c>
      <c r="B53" t="n">
        <v>106</v>
      </c>
      <c r="C53" t="n">
        <v>83</v>
      </c>
      <c r="D53" t="n">
        <v>76</v>
      </c>
    </row>
    <row r="54">
      <c r="A54" t="inlineStr">
        <is>
          <t>2026-06-18</t>
        </is>
      </c>
      <c r="B54" t="n">
        <v>114</v>
      </c>
      <c r="C54" t="n">
        <v>87</v>
      </c>
      <c r="D54" t="n">
        <v>84</v>
      </c>
    </row>
    <row r="55">
      <c r="A55" t="inlineStr">
        <is>
          <t>2026-06-19</t>
        </is>
      </c>
      <c r="B55" t="n">
        <v>118</v>
      </c>
      <c r="C55" t="n">
        <v>90</v>
      </c>
      <c r="D55" t="n">
        <v>84</v>
      </c>
    </row>
    <row r="56">
      <c r="A56" t="inlineStr">
        <is>
          <t>2026-06-20</t>
        </is>
      </c>
      <c r="B56" t="n">
        <v>118</v>
      </c>
      <c r="C56" t="n">
        <v>90</v>
      </c>
      <c r="D56" t="n">
        <v>84</v>
      </c>
    </row>
    <row r="57">
      <c r="A57" t="inlineStr">
        <is>
          <t>2026-06-21</t>
        </is>
      </c>
      <c r="B57" t="n">
        <v>125</v>
      </c>
      <c r="C57" t="n">
        <v>93</v>
      </c>
      <c r="D57" t="n">
        <v>84</v>
      </c>
    </row>
    <row r="58">
      <c r="A58" t="inlineStr">
        <is>
          <t>2026-06-22</t>
        </is>
      </c>
      <c r="B58" t="n">
        <v>125</v>
      </c>
      <c r="C58" t="n">
        <v>99</v>
      </c>
      <c r="D58" t="n">
        <v>84</v>
      </c>
    </row>
    <row r="59">
      <c r="A59" t="inlineStr">
        <is>
          <t>2026-06-23</t>
        </is>
      </c>
      <c r="B59" t="n">
        <v>125</v>
      </c>
      <c r="C59" t="n">
        <v>104</v>
      </c>
      <c r="D59" t="n">
        <v>104</v>
      </c>
    </row>
    <row r="60">
      <c r="A60" t="inlineStr">
        <is>
          <t>2026-06-24</t>
        </is>
      </c>
      <c r="B60" t="n">
        <v>125</v>
      </c>
      <c r="C60" t="n">
        <v>104</v>
      </c>
      <c r="D60" t="n">
        <v>104</v>
      </c>
    </row>
    <row r="61">
      <c r="A61" t="inlineStr">
        <is>
          <t>2026-06-25</t>
        </is>
      </c>
      <c r="B61" t="n">
        <v>129</v>
      </c>
      <c r="C61" t="n">
        <v>108</v>
      </c>
      <c r="D61" t="n">
        <v>104</v>
      </c>
    </row>
    <row r="62">
      <c r="A62" t="inlineStr">
        <is>
          <t>2026-06-26</t>
        </is>
      </c>
      <c r="B62" t="n">
        <v>133</v>
      </c>
      <c r="C62" t="n">
        <v>112</v>
      </c>
      <c r="D62" t="n">
        <v>104</v>
      </c>
    </row>
    <row r="63">
      <c r="A63" t="inlineStr">
        <is>
          <t>2026-06-27</t>
        </is>
      </c>
      <c r="B63" t="n">
        <v>137</v>
      </c>
      <c r="C63" t="n">
        <v>116</v>
      </c>
      <c r="D63" t="n">
        <v>104</v>
      </c>
    </row>
    <row r="64">
      <c r="A64" t="inlineStr">
        <is>
          <t>2026-06-28</t>
        </is>
      </c>
      <c r="B64" t="n">
        <v>145</v>
      </c>
      <c r="C64" t="n">
        <v>123</v>
      </c>
      <c r="D64" t="n">
        <v>119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2026-06-28T05:16:33Z</dcterms:created>
  <dcterms:modified xsi:type="dcterms:W3CDTF">2026-06-28T05:16:33Z</dcterms:modified>
</cp:coreProperties>
</file>