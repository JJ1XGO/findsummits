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'収束グラフ'!$A$2:$A$53</f>
            </strRef>
          </cat>
          <val>
            <numRef>
              <f>'収束グラフ'!$B$2:$B$53</f>
            </numRef>
          </val>
        </ser>
        <ser>
          <idx val="1"/>
          <order val="1"/>
          <tx>
            <strRef>
              <f>'収束グラフ'!C1</f>
            </strRef>
          </tx>
          <spPr>
            <a:ln w="20000">
              <a:solidFill>
                <a:srgbClr val="4472C4"/>
              </a:solidFill>
              <a:prstDash val="solid"/>
            </a:ln>
          </spPr>
          <marker>
            <symbol val="none"/>
            <spPr>
              <a:ln>
                <a:prstDash val="solid"/>
              </a:ln>
            </spPr>
          </marker>
          <cat>
            <strRef>
              <f>'収束グラフ'!$A$2:$A$53</f>
            </strRef>
          </cat>
          <val>
            <numRef>
              <f>'収束グラフ'!$C$2:$C$53</f>
            </numRef>
          </val>
        </ser>
        <ser>
          <idx val="2"/>
          <order val="2"/>
          <tx>
            <strRef>
              <f>'収束グラフ'!D1</f>
            </strRef>
          </tx>
          <spPr>
            <a:ln w="20000">
              <a:solidFill>
                <a:srgbClr val="70AD47"/>
              </a:solidFill>
              <a:prstDash val="solid"/>
            </a:ln>
          </spPr>
          <marker>
            <symbol val="none"/>
            <spPr>
              <a:ln>
                <a:prstDash val="solid"/>
              </a:ln>
            </spPr>
          </marker>
          <cat>
            <strRef>
              <f>'収束グラフ'!$A$2:$A$53</f>
            </strRef>
          </cat>
          <val>
            <numRef>
              <f>'収束グラフ'!$D$2:$D$53</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6" t="inlineStr">
        <is>
          <t>ISSUE-100</t>
        </is>
      </c>
      <c r="B100" s="6" t="inlineStr">
        <is>
          <t>FR-016 per-mesh GeoJSON プロパティ設計（join 方式）</t>
        </is>
      </c>
      <c r="C100" s="6"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6" t="inlineStr">
        <is>
          <t>設計</t>
        </is>
      </c>
      <c r="E100" s="3" t="inlineStr">
        <is>
          <t>高</t>
        </is>
      </c>
      <c r="F100" s="6" t="inlineStr"/>
      <c r="G100" s="6" t="inlineStr">
        <is>
          <t>Sonnet</t>
        </is>
      </c>
      <c r="H100" s="6" t="inlineStr">
        <is>
          <t>2026-06-15</t>
        </is>
      </c>
      <c r="I100" s="6" t="inlineStr">
        <is>
          <t>SRS</t>
        </is>
      </c>
      <c r="J100" s="6" t="inlineStr"/>
      <c r="K100" s="6" t="inlineStr">
        <is>
          <t>対応完了</t>
        </is>
      </c>
      <c r="L100" s="6" t="inlineStr">
        <is>
          <t>Sonnet</t>
        </is>
      </c>
      <c r="M100" s="6" t="inlineStr">
        <is>
          <t>SRS FR-016/018/009 を join 方式に整合して更新。ADR-SRS-022 作成済み。</t>
        </is>
      </c>
      <c r="N100" s="6" t="inlineStr"/>
      <c r="O100" s="6" t="inlineStr"/>
      <c r="P100" s="6" t="inlineStr"/>
    </row>
    <row r="101" ht="40" customHeight="1">
      <c r="A101" s="7" t="inlineStr">
        <is>
          <t>ISSUE-101</t>
        </is>
      </c>
      <c r="B101" s="7" t="inlineStr">
        <is>
          <t>FR-016 delete_zone 再生成不要の根拠明記</t>
        </is>
      </c>
      <c r="C101" s="7" t="inlineStr">
        <is>
          <t>key_col_resolved=false のピークはコル確定後も delete_zone を再生成しない。理由が SRS に記載されていなかった。</t>
        </is>
      </c>
      <c r="D101" s="7" t="inlineStr">
        <is>
          <t>設計</t>
        </is>
      </c>
      <c r="E101" s="4" t="inlineStr">
        <is>
          <t>中</t>
        </is>
      </c>
      <c r="F101" s="7" t="inlineStr"/>
      <c r="G101" s="7" t="inlineStr">
        <is>
          <t>Sonnet</t>
        </is>
      </c>
      <c r="H101" s="7" t="inlineStr">
        <is>
          <t>2026-06-15</t>
        </is>
      </c>
      <c r="I101" s="7" t="inlineStr">
        <is>
          <t>SRS</t>
        </is>
      </c>
      <c r="J101" s="7" t="inlineStr"/>
      <c r="K101" s="7" t="inlineStr">
        <is>
          <t>対応完了</t>
        </is>
      </c>
      <c r="L101" s="7" t="inlineStr">
        <is>
          <t>Sonnet</t>
        </is>
      </c>
      <c r="M101" s="7" t="inlineStr">
        <is>
          <t>FR-016 の詳細説明に許容根拠（3×3 でコル未検出＝実質プロミネンス大で max_drop キャップが実効的、過大化しない）を追記済み。</t>
        </is>
      </c>
      <c r="N101" s="7" t="inlineStr"/>
      <c r="O101" s="7" t="inlineStr"/>
      <c r="P101" s="7" t="inlineStr"/>
    </row>
    <row r="102" ht="40" customHeight="1">
      <c r="A102" s="6" t="inlineStr">
        <is>
          <t>ISSUE-102</t>
        </is>
      </c>
      <c r="B102" s="6" t="inlineStr">
        <is>
          <t>アクティベーションゾーン標高差の設定可能項目化</t>
        </is>
      </c>
      <c r="C102" s="6" t="inlineStr">
        <is>
          <t>AZ Flood Fill の標高差閾値 25m がハードコードされていた。プロミネンス最終フィルタと同様に設定可能項目としてデータ辞書（SRS 2.2.1）で管理するべきとのユーザー指摘。</t>
        </is>
      </c>
      <c r="D102" s="6" t="inlineStr">
        <is>
          <t>機能追加</t>
        </is>
      </c>
      <c r="E102" s="4" t="inlineStr">
        <is>
          <t>中</t>
        </is>
      </c>
      <c r="F102" s="6" t="inlineStr"/>
      <c r="G102" s="6" t="inlineStr">
        <is>
          <t>Sonnet</t>
        </is>
      </c>
      <c r="H102" s="6" t="inlineStr">
        <is>
          <t>2026-06-15</t>
        </is>
      </c>
      <c r="I102" s="6" t="inlineStr">
        <is>
          <t>SRS</t>
        </is>
      </c>
      <c r="J102" s="6" t="inlineStr"/>
      <c r="K102" s="6" t="inlineStr">
        <is>
          <t>対応完了</t>
        </is>
      </c>
      <c r="L102" s="6" t="inlineStr">
        <is>
          <t>Sonnet</t>
        </is>
      </c>
      <c r="M102" s="6"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6" t="inlineStr"/>
      <c r="O102" s="6" t="inlineStr"/>
      <c r="P102" s="6" t="inlineStr"/>
    </row>
    <row r="103" ht="40" customHeight="1">
      <c r="A103" s="7" t="inlineStr">
        <is>
          <t>ISSUE-103</t>
        </is>
      </c>
      <c r="B103" s="7" t="inlineStr">
        <is>
          <t>FR-008統合対象メッシュコードリストの入力分離（フィルタ用途とexpected_count基準の分離）</t>
        </is>
      </c>
      <c r="C103" s="7"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7" t="inlineStr">
        <is>
          <t>設計</t>
        </is>
      </c>
      <c r="E103" s="4" t="inlineStr">
        <is>
          <t>中</t>
        </is>
      </c>
      <c r="F103" s="7" t="inlineStr">
        <is>
          <t>merge.py</t>
        </is>
      </c>
      <c r="G103" s="7" t="inlineStr">
        <is>
          <t>Opus</t>
        </is>
      </c>
      <c r="H103" s="7" t="inlineStr">
        <is>
          <t>2026-06-16</t>
        </is>
      </c>
      <c r="I103" s="7" t="inlineStr">
        <is>
          <t>SRS</t>
        </is>
      </c>
      <c r="J103" s="7" t="inlineStr"/>
      <c r="K103" s="7" t="inlineStr">
        <is>
          <t>対応完了</t>
        </is>
      </c>
      <c r="L103" s="7" t="inlineStr"/>
      <c r="M103" s="7" t="inlineStr">
        <is>
          <t>ADR-SRS-023として記録。SRS FR-008/FR-022/データ辞書7.2へ反映済み。</t>
        </is>
      </c>
      <c r="N103" s="7" t="inlineStr">
        <is>
          <t>Opus 4.8によるレビュー討議で決着。</t>
        </is>
      </c>
      <c r="O103" s="7" t="inlineStr">
        <is>
          <t>2026-06-16</t>
        </is>
      </c>
      <c r="P103" s="7" t="inlineStr"/>
    </row>
    <row r="104" ht="40" customHeight="1">
      <c r="A104" s="6" t="inlineStr">
        <is>
          <t>ISSUE-104</t>
        </is>
      </c>
      <c r="B104" s="6" t="inlineStr">
        <is>
          <t>FR-018 を FR-008 とセットでループ内再入させ merged_peak.csv で絞る</t>
        </is>
      </c>
      <c r="C104" s="6"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6" t="inlineStr">
        <is>
          <t>設計</t>
        </is>
      </c>
      <c r="E104" s="3" t="inlineStr">
        <is>
          <t>高</t>
        </is>
      </c>
      <c r="F104" s="6" t="inlineStr">
        <is>
          <t>GeoJSON出力</t>
        </is>
      </c>
      <c r="G104" s="6" t="inlineStr">
        <is>
          <t>Opus</t>
        </is>
      </c>
      <c r="H104" s="6" t="inlineStr">
        <is>
          <t>2026-06-16</t>
        </is>
      </c>
      <c r="I104" s="6" t="inlineStr">
        <is>
          <t>SRS</t>
        </is>
      </c>
      <c r="J104" s="6" t="inlineStr"/>
      <c r="K104" s="6" t="inlineStr">
        <is>
          <t>対応完了</t>
        </is>
      </c>
      <c r="L104" s="6" t="inlineStr">
        <is>
          <t>Opus</t>
        </is>
      </c>
      <c r="M104" s="6" t="inlineStr">
        <is>
          <t>ADR-SRS-024（fr018-loop-reentry-and-peak-filter）で決定。SRS本文へ反映後 close。</t>
        </is>
      </c>
      <c r="N104" s="6" t="inlineStr"/>
      <c r="O104" s="6" t="inlineStr">
        <is>
          <t>2026-06-16</t>
        </is>
      </c>
      <c r="P104" s="6" t="inlineStr"/>
    </row>
    <row r="105" ht="40" customHeight="1">
      <c r="A105" s="7" t="inlineStr">
        <is>
          <t>ISSUE-105</t>
        </is>
      </c>
      <c r="B105" s="7" t="inlineStr">
        <is>
          <t>中間成果物の可視化検証要件（観測可能性）をURDに追加</t>
        </is>
      </c>
      <c r="C105" s="7"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7" t="inlineStr">
        <is>
          <t>設計</t>
        </is>
      </c>
      <c r="E105" s="3" t="inlineStr">
        <is>
          <t>高</t>
        </is>
      </c>
      <c r="F105" s="7" t="inlineStr">
        <is>
          <t>GeoJSON出力</t>
        </is>
      </c>
      <c r="G105" s="7" t="inlineStr">
        <is>
          <t>Opus</t>
        </is>
      </c>
      <c r="H105" s="7" t="inlineStr">
        <is>
          <t>2026-06-16</t>
        </is>
      </c>
      <c r="I105" s="7" t="inlineStr">
        <is>
          <t>URD</t>
        </is>
      </c>
      <c r="J105" s="7" t="inlineStr"/>
      <c r="K105" s="7" t="inlineStr">
        <is>
          <t>対応完了</t>
        </is>
      </c>
      <c r="L105" s="7" t="inlineStr">
        <is>
          <t>Sonnet</t>
        </is>
      </c>
      <c r="M105" s="7" t="inlineStr">
        <is>
          <t>UR-013新設・ADR-URD-016作成で決着。</t>
        </is>
      </c>
      <c r="N105" s="7" t="inlineStr"/>
      <c r="O105" s="7" t="inlineStr">
        <is>
          <t>2026-06-16</t>
        </is>
      </c>
      <c r="P105" s="7" t="inlineStr"/>
    </row>
    <row r="106" ht="40" customHeight="1">
      <c r="A106" s="6" t="inlineStr">
        <is>
          <t>ISSUE-106</t>
        </is>
      </c>
      <c r="B106" s="6" t="inlineStr">
        <is>
          <t>UR-013（中間可視化）を満たすSRS設計 — ピーク↔コル対応の表示方式検討</t>
        </is>
      </c>
      <c r="C106" s="6"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6" t="inlineStr">
        <is>
          <t>設計</t>
        </is>
      </c>
      <c r="E106" s="4" t="inlineStr">
        <is>
          <t>中</t>
        </is>
      </c>
      <c r="F106" s="6" t="inlineStr">
        <is>
          <t>GeoJSON出力</t>
        </is>
      </c>
      <c r="G106" s="6" t="inlineStr">
        <is>
          <t>Opus</t>
        </is>
      </c>
      <c r="H106" s="6" t="inlineStr">
        <is>
          <t>2026-06-16</t>
        </is>
      </c>
      <c r="I106" s="6" t="inlineStr">
        <is>
          <t>SRS</t>
        </is>
      </c>
      <c r="J106" s="6" t="inlineStr"/>
      <c r="K106" s="6" t="inlineStr">
        <is>
          <t>未対応</t>
        </is>
      </c>
      <c r="L106" s="6" t="inlineStr"/>
      <c r="M106" s="6" t="inlineStr"/>
      <c r="N106" s="6" t="inlineStr"/>
      <c r="O106" s="6" t="inlineStr"/>
      <c r="P106" s="6" t="inlineStr"/>
    </row>
    <row r="107" ht="40" customHeight="1">
      <c r="A107" s="7" t="inlineStr">
        <is>
          <t>ISSUE-107</t>
        </is>
      </c>
      <c r="B107" s="7" t="inlineStr">
        <is>
          <t>UR-013（観測可能性）をSRSに反映 — NFR-009新設・FR-018トレース追加・ADR-SRS-025作成</t>
        </is>
      </c>
      <c r="C107" s="7"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7" t="inlineStr">
        <is>
          <t>設計</t>
        </is>
      </c>
      <c r="E107" s="3" t="inlineStr">
        <is>
          <t>高</t>
        </is>
      </c>
      <c r="F107" s="7" t="inlineStr">
        <is>
          <t>その他</t>
        </is>
      </c>
      <c r="G107" s="7" t="inlineStr">
        <is>
          <t>Sonnet</t>
        </is>
      </c>
      <c r="H107" s="7" t="inlineStr">
        <is>
          <t>2026-06-17</t>
        </is>
      </c>
      <c r="I107" s="7" t="inlineStr">
        <is>
          <t>SRS</t>
        </is>
      </c>
      <c r="J107" s="7" t="inlineStr">
        <is>
          <t>SRS</t>
        </is>
      </c>
      <c r="K107" s="7" t="inlineStr">
        <is>
          <t>対応完了</t>
        </is>
      </c>
      <c r="L107" s="7" t="inlineStr"/>
      <c r="M107" s="7" t="inlineStr"/>
      <c r="N107" s="7" t="inlineStr"/>
      <c r="O107" s="7" t="inlineStr">
        <is>
          <t>2026-06-17</t>
        </is>
      </c>
      <c r="P107" s="7" t="inlineStr"/>
    </row>
  </sheetData>
  <dataValidations count="5">
    <dataValidation sqref="K2:K107" showDropDown="0" showInputMessage="0" showErrorMessage="0" allowBlank="1" type="list">
      <formula1>"未対応,対応中,対応完了,解決済,却下"</formula1>
    </dataValidation>
    <dataValidation sqref="E2:E107" showDropDown="0" showInputMessage="0" showErrorMessage="0" allowBlank="1" type="list">
      <formula1>"高,中,低"</formula1>
    </dataValidation>
    <dataValidation sqref="D2:D107" showDropDown="0" showInputMessage="0" showErrorMessage="0" allowBlank="1" type="list">
      <formula1>"機能追加,改善,調査,設計"</formula1>
    </dataValidation>
    <dataValidation sqref="I2:I107" showDropDown="0" showInputMessage="0" showErrorMessage="0" allowBlank="1" type="list">
      <formula1>"URD,SRS,HLD,LLD,COD,UT,IT,ST,OPS"</formula1>
    </dataValidation>
    <dataValidation sqref="J2:J10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106</v>
      </c>
    </row>
    <row r="3">
      <c r="A3" s="10" t="inlineStr">
        <is>
          <t>未解決件数</t>
        </is>
      </c>
      <c r="B3" s="11" t="n">
        <v>30</v>
      </c>
    </row>
    <row r="4">
      <c r="A4" s="10" t="inlineStr">
        <is>
          <t>解決済件数</t>
        </is>
      </c>
      <c r="B4" s="11" t="n">
        <v>59</v>
      </c>
    </row>
    <row r="5">
      <c r="A5" s="10" t="inlineStr">
        <is>
          <t>解決率</t>
        </is>
      </c>
      <c r="B5" s="11" t="inlineStr">
        <is>
          <t>55.7%</t>
        </is>
      </c>
    </row>
    <row r="7">
      <c r="A7" s="8" t="inlineStr">
        <is>
          <t>ステータス別</t>
        </is>
      </c>
      <c r="B7" s="9" t="n"/>
    </row>
    <row r="8">
      <c r="A8" s="10" t="inlineStr">
        <is>
          <t>未対応</t>
        </is>
      </c>
      <c r="B8" s="11" t="n">
        <v>23</v>
      </c>
    </row>
    <row r="9">
      <c r="A9" s="10" t="inlineStr">
        <is>
          <t>対応中</t>
        </is>
      </c>
      <c r="B9" s="11" t="n">
        <v>0</v>
      </c>
    </row>
    <row r="10">
      <c r="A10" s="10" t="inlineStr">
        <is>
          <t>対応完了</t>
        </is>
      </c>
      <c r="B10" s="11" t="n">
        <v>7</v>
      </c>
    </row>
    <row r="11">
      <c r="A11" s="10" t="inlineStr">
        <is>
          <t>解決済</t>
        </is>
      </c>
      <c r="B11" s="11" t="n">
        <v>59</v>
      </c>
    </row>
    <row r="12">
      <c r="A12" s="10" t="inlineStr">
        <is>
          <t>却下</t>
        </is>
      </c>
      <c r="B12" s="11" t="n">
        <v>17</v>
      </c>
    </row>
    <row r="14">
      <c r="A14" s="8" t="inlineStr">
        <is>
          <t>優先度別（未解決）</t>
        </is>
      </c>
      <c r="B14" s="9" t="n"/>
    </row>
    <row r="15">
      <c r="A15" s="10" t="inlineStr">
        <is>
          <t>高</t>
        </is>
      </c>
      <c r="B15" s="11" t="n">
        <v>15</v>
      </c>
    </row>
    <row r="16">
      <c r="A16" s="10" t="inlineStr">
        <is>
          <t>中</t>
        </is>
      </c>
      <c r="B16" s="11" t="n">
        <v>12</v>
      </c>
    </row>
    <row r="17">
      <c r="A17" s="10" t="inlineStr">
        <is>
          <t>低</t>
        </is>
      </c>
      <c r="B17" s="11" t="n">
        <v>3</v>
      </c>
    </row>
    <row r="19">
      <c r="A19" s="8" t="inlineStr">
        <is>
          <t>種別別（未解決）</t>
        </is>
      </c>
      <c r="B19" s="9" t="n"/>
    </row>
    <row r="20">
      <c r="A20" s="10" t="inlineStr">
        <is>
          <t>機能追加</t>
        </is>
      </c>
      <c r="B20" s="11" t="n">
        <v>10</v>
      </c>
    </row>
    <row r="21">
      <c r="A21" s="10" t="inlineStr">
        <is>
          <t>改善</t>
        </is>
      </c>
      <c r="B21" s="11" t="n">
        <v>12</v>
      </c>
    </row>
    <row r="22">
      <c r="A22" s="10" t="inlineStr">
        <is>
          <t>調査</t>
        </is>
      </c>
      <c r="B22" s="11" t="n">
        <v>1</v>
      </c>
    </row>
    <row r="23">
      <c r="A23" s="10" t="inlineStr">
        <is>
          <t>設計</t>
        </is>
      </c>
      <c r="B23" s="11" t="n">
        <v>7</v>
      </c>
    </row>
    <row r="25">
      <c r="A25" s="8" t="inlineStr">
        <is>
          <t>カテゴリ別（未解決）</t>
        </is>
      </c>
      <c r="B25" s="9" t="n"/>
    </row>
    <row r="26">
      <c r="A26" s="10" t="inlineStr">
        <is>
          <t>解析エンジン</t>
        </is>
      </c>
      <c r="B26" s="11" t="n">
        <v>4</v>
      </c>
    </row>
    <row r="27">
      <c r="A27" s="10" t="inlineStr">
        <is>
          <t>merge.py</t>
        </is>
      </c>
      <c r="B27" s="11" t="n">
        <v>3</v>
      </c>
    </row>
    <row r="28">
      <c r="A28" s="10" t="inlineStr">
        <is>
          <t>GeoJSON出力</t>
        </is>
      </c>
      <c r="B28" s="11" t="n">
        <v>6</v>
      </c>
    </row>
    <row r="29">
      <c r="A29" s="10" t="inlineStr">
        <is>
          <t>その他</t>
        </is>
      </c>
      <c r="B29" s="11" t="n">
        <v>5</v>
      </c>
    </row>
    <row r="31">
      <c r="A31" s="8" t="inlineStr">
        <is>
          <t>ステージ別（未解決）</t>
        </is>
      </c>
      <c r="B31" s="9" t="n"/>
    </row>
    <row r="32">
      <c r="A32" s="10" t="inlineStr">
        <is>
          <t>URD</t>
        </is>
      </c>
      <c r="B32" s="11" t="n">
        <v>1</v>
      </c>
    </row>
    <row r="33">
      <c r="A33" s="10" t="inlineStr">
        <is>
          <t>SRS</t>
        </is>
      </c>
      <c r="B33" s="11" t="n">
        <v>27</v>
      </c>
    </row>
    <row r="34">
      <c r="A34" s="10" t="inlineStr">
        <is>
          <t>HLD</t>
        </is>
      </c>
      <c r="B34" s="11" t="n">
        <v>1</v>
      </c>
    </row>
    <row r="35">
      <c r="A35" s="10" t="inlineStr">
        <is>
          <t>COD</t>
        </is>
      </c>
      <c r="B35"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62</v>
      </c>
      <c r="D51" t="n">
        <v>76</v>
      </c>
    </row>
    <row r="52">
      <c r="A52" t="inlineStr">
        <is>
          <t>2026-06-16</t>
        </is>
      </c>
      <c r="B52" t="n">
        <v>105</v>
      </c>
      <c r="C52" t="n">
        <v>65</v>
      </c>
      <c r="D52" t="n">
        <v>76</v>
      </c>
    </row>
    <row r="53">
      <c r="A53" t="inlineStr">
        <is>
          <t>2026-06-17</t>
        </is>
      </c>
      <c r="B53" t="n">
        <v>106</v>
      </c>
      <c r="C53" t="n">
        <v>66</v>
      </c>
      <c r="D53" t="n">
        <v>76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2026-06-17T10:25:20Z</dcterms:created>
  <dcterms:modified xsi:type="dcterms:W3CDTF">2026-06-17T10:25:20Z</dcterms:modified>
</cp:coreProperties>
</file>