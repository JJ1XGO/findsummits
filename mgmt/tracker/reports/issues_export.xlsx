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'収束グラフ'!$A$2:$A$64</f>
            </strRef>
          </cat>
          <val>
            <numRef>
              <f>'収束グラフ'!$B$2:$B$64</f>
            </numRef>
          </val>
          <smooth val="0"/>
        </ser>
        <ser>
          <idx val="1"/>
          <order val="1"/>
          <tx>
            <strRef>
              <f>'収束グラフ'!C1</f>
            </strRef>
          </tx>
          <spPr>
            <a:ln w="20000">
              <a:solidFill>
                <a:srgbClr val="4472C4"/>
              </a:solidFill>
              <a:prstDash val="solid"/>
            </a:ln>
          </spPr>
          <marker>
            <symbol val="none"/>
            <spPr>
              <a:ln>
                <a:prstDash val="solid"/>
              </a:ln>
            </spPr>
          </marker>
          <cat>
            <strRef>
              <f>'収束グラフ'!$A$2:$A$64</f>
            </strRef>
          </cat>
          <val>
            <numRef>
              <f>'収束グラフ'!$C$2:$C$64</f>
            </numRef>
          </val>
          <smooth val="0"/>
        </ser>
        <ser>
          <idx val="2"/>
          <order val="2"/>
          <tx>
            <strRef>
              <f>'収束グラフ'!D1</f>
            </strRef>
          </tx>
          <spPr>
            <a:ln w="20000">
              <a:solidFill>
                <a:srgbClr val="70AD47"/>
              </a:solidFill>
              <a:prstDash val="solid"/>
            </a:ln>
          </spPr>
          <marker>
            <symbol val="none"/>
            <spPr>
              <a:ln>
                <a:prstDash val="solid"/>
              </a:ln>
            </spPr>
          </marker>
          <cat>
            <strRef>
              <f>'収束グラフ'!$A$2:$A$64</f>
            </strRef>
          </cat>
          <val>
            <numRef>
              <f>'収束グラフ'!$D$2:$D$64</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6" t="inlineStr">
        <is>
          <t>ISSUE-140</t>
        </is>
      </c>
      <c r="B140" s="6" t="inlineStr">
        <is>
          <t>key_col_unresolved_peaks-N.csv のカラム定義（スキーマ）を FR-022 出力テーブル／§7.2.1 に追加</t>
        </is>
      </c>
      <c r="C140" s="6"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6" t="inlineStr">
        <is>
          <t>設計</t>
        </is>
      </c>
      <c r="E140" s="3" t="inlineStr">
        <is>
          <t>高</t>
        </is>
      </c>
      <c r="F140" s="6" t="inlineStr">
        <is>
          <t>その他</t>
        </is>
      </c>
      <c r="G140" s="6" t="inlineStr"/>
      <c r="H140" s="6" t="inlineStr">
        <is>
          <t>2026-06-28</t>
        </is>
      </c>
      <c r="I140" s="6" t="inlineStr">
        <is>
          <t>SRS</t>
        </is>
      </c>
      <c r="J140" s="6" t="inlineStr"/>
      <c r="K140" s="6" t="inlineStr">
        <is>
          <t>対応完了</t>
        </is>
      </c>
      <c r="L140" s="6" t="inlineStr"/>
      <c r="M140" s="6" t="inlineStr">
        <is>
          <t>カラムを確定し（最低限 peak_lat, peak_lon。追加列があれば明示）、FR-022 出力テーブル備考欄か §7.2.2 に定義セクションを追加する。FR-014 入力備考欄も整合させる。</t>
        </is>
      </c>
      <c r="N140" s="6" t="inlineStr"/>
      <c r="O140" s="6" t="inlineStr">
        <is>
          <t>2026-06-28</t>
        </is>
      </c>
      <c r="P140" s="6" t="inlineStr"/>
    </row>
    <row r="141" ht="40" customHeight="1">
      <c r="A141" s="7" t="inlineStr">
        <is>
          <t>ISSUE-141</t>
        </is>
      </c>
      <c r="B141" s="7" t="inlineStr">
        <is>
          <t>FR-022 異常系定義の追加（入力 CSV 不存在・空ピーク時の挙動）</t>
        </is>
      </c>
      <c r="C141" s="7"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7" t="inlineStr">
        <is>
          <t>設計</t>
        </is>
      </c>
      <c r="E141" s="4" t="inlineStr">
        <is>
          <t>中</t>
        </is>
      </c>
      <c r="F141" s="7" t="inlineStr">
        <is>
          <t>その他</t>
        </is>
      </c>
      <c r="G141" s="7" t="inlineStr"/>
      <c r="H141" s="7" t="inlineStr">
        <is>
          <t>2026-06-28</t>
        </is>
      </c>
      <c r="I141" s="7" t="inlineStr">
        <is>
          <t>SRS</t>
        </is>
      </c>
      <c r="J141" s="7" t="inlineStr"/>
      <c r="K141" s="7" t="inlineStr">
        <is>
          <t>対応完了</t>
        </is>
      </c>
      <c r="L141" s="7" t="inlineStr"/>
      <c r="M141" s="7" t="inlineStr">
        <is>
          <t>FR-022 説明に「異常系」セクションを追加。「入力 CSV が存在しない場合はエラー終了（FR-023 に伝播）」「ピーク0件（空 CSV）の場合は「ゼロ」を返し正常終了（フェーズ4へ進む）」の方針を確定して記述する。</t>
        </is>
      </c>
      <c r="N141" s="7" t="inlineStr"/>
      <c r="O141" s="7" t="inlineStr">
        <is>
          <t>2026-06-28</t>
        </is>
      </c>
      <c r="P141" s="7" t="inlineStr"/>
    </row>
    <row r="142" ht="40" customHeight="1">
      <c r="A142" s="6" t="inlineStr">
        <is>
          <t>ISSUE-142</t>
        </is>
      </c>
      <c r="B142" s="6" t="inlineStr">
        <is>
          <t>FR-023 の下位 FR エラー時のエラー伝播方針を SRS に明記</t>
        </is>
      </c>
      <c r="C142" s="6"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6" t="inlineStr">
        <is>
          <t>設計</t>
        </is>
      </c>
      <c r="E142" s="4" t="inlineStr">
        <is>
          <t>中</t>
        </is>
      </c>
      <c r="F142" s="6" t="inlineStr">
        <is>
          <t>その他</t>
        </is>
      </c>
      <c r="G142" s="6" t="inlineStr"/>
      <c r="H142" s="6" t="inlineStr">
        <is>
          <t>2026-06-28</t>
        </is>
      </c>
      <c r="I142" s="6" t="inlineStr">
        <is>
          <t>SRS</t>
        </is>
      </c>
      <c r="J142" s="6" t="inlineStr"/>
      <c r="K142" s="6" t="inlineStr">
        <is>
          <t>対応完了</t>
        </is>
      </c>
      <c r="L142" s="6" t="inlineStr"/>
      <c r="M142" s="6" t="inlineStr">
        <is>
          <t>方針を確定し（推奨: 即時終了・エラー伝播）、FR-023 説明のループ終了条件周辺に「呼び出した FR がエラー終了した場合は FR-023 も即時終了する」旨を追記する。</t>
        </is>
      </c>
      <c r="N142" s="6" t="inlineStr"/>
      <c r="O142" s="6" t="inlineStr">
        <is>
          <t>2026-06-28</t>
        </is>
      </c>
      <c r="P142" s="6" t="inlineStr"/>
    </row>
    <row r="143" ht="40" customHeight="1">
      <c r="A143" s="7" t="inlineStr">
        <is>
          <t>ISSUE-143</t>
        </is>
      </c>
      <c r="B143" s="7" t="inlineStr">
        <is>
          <t>FR-020: NFR-010（描画応答性）スコープに公開用 HTML を含めるか確認・RTM 更新</t>
        </is>
      </c>
      <c r="C143" s="7"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7" t="inlineStr">
        <is>
          <t>設計</t>
        </is>
      </c>
      <c r="E143" s="4" t="inlineStr">
        <is>
          <t>中</t>
        </is>
      </c>
      <c r="F143" s="7" t="inlineStr">
        <is>
          <t>その他</t>
        </is>
      </c>
      <c r="G143" s="7" t="inlineStr">
        <is>
          <t>Sonnet</t>
        </is>
      </c>
      <c r="H143" s="7" t="inlineStr">
        <is>
          <t>2026-06-28</t>
        </is>
      </c>
      <c r="I143" s="7" t="inlineStr">
        <is>
          <t>SRS</t>
        </is>
      </c>
      <c r="J143" s="7" t="inlineStr"/>
      <c r="K143" s="7" t="inlineStr">
        <is>
          <t>対応完了</t>
        </is>
      </c>
      <c r="L143" s="7" t="inlineStr"/>
      <c r="M143" s="7"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7" t="inlineStr"/>
      <c r="O143" s="7" t="inlineStr">
        <is>
          <t>2026-06-28</t>
        </is>
      </c>
      <c r="P143" s="7" t="inlineStr"/>
    </row>
    <row r="144" ht="40" customHeight="1">
      <c r="A144" s="6" t="inlineStr">
        <is>
          <t>ISSUE-144</t>
        </is>
      </c>
      <c r="B144" s="6" t="inlineStr">
        <is>
          <t>FR-017 生成1（60地域GeoJSON）への北方領土ポリゴン含有の扱いを明示</t>
        </is>
      </c>
      <c r="C144" s="6" t="inlineStr">
        <is>
          <t>FR-017 §生成1（60地域GeoJSON）を作成する際、北方領土6村（N03_007: 01695〜01700）のポリゴンを dissolve 対象に含めるか除外するかが未定義。生成3（北方領土除外タイルリスト）は同コードを抽出して別途処理するが、生成1の dissolve 処理で除外するか残すかが記述されていない。含めたままにすると FR-009 でのエリアコード付与対象に北方領土のポリゴン範囲が残るが、北方領土のピーク候補は FR-001 タイル取得スキップにより解析結果に流れ込まない設計のため実害はない。ただし設計意図が読み取れない状態であり、実装者が迷う可能性がある。</t>
        </is>
      </c>
      <c r="D144" s="6" t="inlineStr">
        <is>
          <t>設計</t>
        </is>
      </c>
      <c r="E144" s="4" t="inlineStr">
        <is>
          <t>中</t>
        </is>
      </c>
      <c r="F144" s="6" t="inlineStr">
        <is>
          <t>その他</t>
        </is>
      </c>
      <c r="G144" s="6" t="inlineStr">
        <is>
          <t>Sonnet</t>
        </is>
      </c>
      <c r="H144" s="6" t="inlineStr">
        <is>
          <t>2026-06-28</t>
        </is>
      </c>
      <c r="I144" s="6" t="inlineStr">
        <is>
          <t>SRS</t>
        </is>
      </c>
      <c r="J144" s="6" t="inlineStr"/>
      <c r="K144" s="6" t="inlineStr">
        <is>
          <t>対応完了</t>
        </is>
      </c>
      <c r="L144" s="6" t="inlineStr"/>
      <c r="M144" s="6" t="inlineStr">
        <is>
          <t>「生成1では北方領土ポリゴンを dissolve 対象に含める（除外は生成3＋FR-001 で完結しているため重複除外は不要）」または「生成3と同一条件で生成1から除外する」どちらかを決定し、FR-017 §生成1 の説明文に明記する。</t>
        </is>
      </c>
      <c r="N144" s="6" t="inlineStr"/>
      <c r="O144" s="6" t="inlineStr">
        <is>
          <t>2026-06-28</t>
        </is>
      </c>
      <c r="P144" s="6" t="inlineStr"/>
    </row>
    <row r="145" ht="40" customHeight="1">
      <c r="A145" s="7" t="inlineStr">
        <is>
          <t>ISSUE-145</t>
        </is>
      </c>
      <c r="B145" s="7" t="inlineStr">
        <is>
          <t>FR-017 生成1 dissolve の出力形状（MultiPolygon 可否）を明示</t>
        </is>
      </c>
      <c r="C145" s="7" t="inlineStr">
        <is>
          <t>FR-017 §生成1（行282）に「1地域1ポリゴンに集約」と記述されているが、沖縄・鹿児島等の離島は本島と隣接しないため dissolve の自然な結果は MultiPolygon になる。「1ポリゴン」が MultiPolygon 許容なのか厳密に単一 Polygon なのかが未定義。FR-009 での point-in-polygon 処理の実装時（GeoJSON ライブラリの扱い）に影響する。</t>
        </is>
      </c>
      <c r="D145" s="7" t="inlineStr">
        <is>
          <t>設計</t>
        </is>
      </c>
      <c r="E145" s="4" t="inlineStr">
        <is>
          <t>中</t>
        </is>
      </c>
      <c r="F145" s="7" t="inlineStr">
        <is>
          <t>その他</t>
        </is>
      </c>
      <c r="G145" s="7" t="inlineStr">
        <is>
          <t>Sonnet</t>
        </is>
      </c>
      <c r="H145" s="7" t="inlineStr">
        <is>
          <t>2026-06-28</t>
        </is>
      </c>
      <c r="I145" s="7" t="inlineStr">
        <is>
          <t>SRS</t>
        </is>
      </c>
      <c r="J145" s="7" t="inlineStr"/>
      <c r="K145" s="7" t="inlineStr">
        <is>
          <t>対応完了</t>
        </is>
      </c>
      <c r="L145" s="7" t="inlineStr"/>
      <c r="M145" s="7" t="inlineStr">
        <is>
          <t>「1フィーチャ（MultiPolygon 許容）に集約」として SRS の記述「1地域1ポリゴン」を「1地域1フィーチャ（MultiPolygon 許容）」に更新することを推奨する。離島を含む都府県は必然的に MultiPolygon になるため単一 Polygon への厳密化は現実的でない。</t>
        </is>
      </c>
      <c r="N145" s="7" t="inlineStr"/>
      <c r="O145" s="7" t="inlineStr">
        <is>
          <t>2026-06-28</t>
        </is>
      </c>
      <c r="P145" s="7" t="inlineStr"/>
    </row>
    <row r="146" ht="40" customHeight="1">
      <c r="A146" s="6" t="inlineStr">
        <is>
          <t>ISSUE-146</t>
        </is>
      </c>
      <c r="B146" s="6" t="inlineStr">
        <is>
          <t>FR-017 再実行条件（N03 ZIP 差し替え時）の SRS 記載 vs HLD 委任を判断</t>
        </is>
      </c>
      <c r="C146" s="6" t="inlineStr">
        <is>
          <t>FR-017 §実行タイミング（行276）は「初回のみ。出力ファイル群が未生成の場合に起動する」と定義しているが、N03 ZIP を新年版に差し替えた場合の再実行手順が未定義。「出力ファイルを削除してから再実行する」という操作手順を SRS 段階で明記するか、HLD に完全委任するかを決める必要がある。</t>
        </is>
      </c>
      <c r="D146" s="6" t="inlineStr">
        <is>
          <t>設計</t>
        </is>
      </c>
      <c r="E146" s="5" t="inlineStr">
        <is>
          <t>低</t>
        </is>
      </c>
      <c r="F146" s="6" t="inlineStr">
        <is>
          <t>その他</t>
        </is>
      </c>
      <c r="G146" s="6" t="inlineStr">
        <is>
          <t>Sonnet</t>
        </is>
      </c>
      <c r="H146" s="6" t="inlineStr">
        <is>
          <t>2026-06-28</t>
        </is>
      </c>
      <c r="I146" s="6" t="inlineStr">
        <is>
          <t>SRS</t>
        </is>
      </c>
      <c r="J146" s="6" t="inlineStr"/>
      <c r="K146" s="6" t="inlineStr">
        <is>
          <t>対応完了</t>
        </is>
      </c>
      <c r="L146" s="6" t="inlineStr"/>
      <c r="M146" s="6" t="inlineStr">
        <is>
          <t>SRS に「出力ファイルを手動削除することで再実行できる（詳細は HLD 参照）」程度の一文を追加する方向を推奨する。完全 HLD 委任とする場合は FR-017 §実行タイミングに『再実行はHLD参照』の一文を追記する。</t>
        </is>
      </c>
      <c r="N146" s="6" t="inlineStr"/>
      <c r="O146" s="6" t="inlineStr">
        <is>
          <t>2026-06-28</t>
        </is>
      </c>
      <c r="P146" s="6" t="inlineStr"/>
    </row>
  </sheetData>
  <dataValidations count="5">
    <dataValidation sqref="K2:K146" showDropDown="0" showInputMessage="0" showErrorMessage="0" allowBlank="1" type="list">
      <formula1>"未対応,対応中,対応完了,解決済,却下"</formula1>
    </dataValidation>
    <dataValidation sqref="E2:E146" showDropDown="0" showInputMessage="0" showErrorMessage="0" allowBlank="1" type="list">
      <formula1>"高,中,低"</formula1>
    </dataValidation>
    <dataValidation sqref="D2:D146" showDropDown="0" showInputMessage="0" showErrorMessage="0" allowBlank="1" type="list">
      <formula1>"改善,調査,設計"</formula1>
    </dataValidation>
    <dataValidation sqref="I2:I146" showDropDown="0" showInputMessage="0" showErrorMessage="0" allowBlank="1" type="list">
      <formula1>"URD,SRS,HLD,LLD,COD,UT,IT,ST,OPS"</formula1>
    </dataValidation>
    <dataValidation sqref="J2:J14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145</v>
      </c>
    </row>
    <row r="3">
      <c r="A3" s="10" t="inlineStr">
        <is>
          <t>未解決件数</t>
        </is>
      </c>
      <c r="B3" s="11" t="n">
        <v>26</v>
      </c>
    </row>
    <row r="4">
      <c r="A4" s="10" t="inlineStr">
        <is>
          <t>解決済件数</t>
        </is>
      </c>
      <c r="B4" s="11" t="n">
        <v>102</v>
      </c>
    </row>
    <row r="5">
      <c r="A5" s="10" t="inlineStr">
        <is>
          <t>解決率</t>
        </is>
      </c>
      <c r="B5" s="11" t="inlineStr">
        <is>
          <t>70.3%</t>
        </is>
      </c>
    </row>
    <row r="7">
      <c r="A7" s="8" t="inlineStr">
        <is>
          <t>ステータス別</t>
        </is>
      </c>
      <c r="B7" s="9" t="n"/>
    </row>
    <row r="8">
      <c r="A8" s="10" t="inlineStr">
        <is>
          <t>未対応</t>
        </is>
      </c>
      <c r="B8" s="11" t="n">
        <v>19</v>
      </c>
    </row>
    <row r="9">
      <c r="A9" s="10" t="inlineStr">
        <is>
          <t>対応中</t>
        </is>
      </c>
      <c r="B9" s="11" t="n">
        <v>0</v>
      </c>
    </row>
    <row r="10">
      <c r="A10" s="10" t="inlineStr">
        <is>
          <t>対応完了</t>
        </is>
      </c>
      <c r="B10" s="11" t="n">
        <v>7</v>
      </c>
    </row>
    <row r="11">
      <c r="A11" s="10" t="inlineStr">
        <is>
          <t>解決済</t>
        </is>
      </c>
      <c r="B11" s="11" t="n">
        <v>102</v>
      </c>
    </row>
    <row r="12">
      <c r="A12" s="10" t="inlineStr">
        <is>
          <t>却下</t>
        </is>
      </c>
      <c r="B12" s="11" t="n">
        <v>17</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4</v>
      </c>
    </row>
    <row r="19">
      <c r="A19" s="8" t="inlineStr">
        <is>
          <t>種別別（未解決）</t>
        </is>
      </c>
      <c r="B19" s="9" t="n"/>
    </row>
    <row r="20">
      <c r="A20" s="10" t="inlineStr">
        <is>
          <t>改善</t>
        </is>
      </c>
      <c r="B20" s="11" t="n">
        <v>12</v>
      </c>
    </row>
    <row r="21">
      <c r="A21" s="10" t="inlineStr">
        <is>
          <t>調査</t>
        </is>
      </c>
      <c r="B21" s="11" t="n">
        <v>1</v>
      </c>
    </row>
    <row r="22">
      <c r="A22" s="10" t="inlineStr">
        <is>
          <t>設計</t>
        </is>
      </c>
      <c r="B22" s="11" t="n">
        <v>13</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8</v>
      </c>
    </row>
    <row r="30">
      <c r="A30" s="8" t="inlineStr">
        <is>
          <t>ステージ別（未解決）</t>
        </is>
      </c>
      <c r="B30" s="9" t="n"/>
    </row>
    <row r="31">
      <c r="A31" s="10" t="inlineStr">
        <is>
          <t>SRS</t>
        </is>
      </c>
      <c r="B31" s="11" t="n">
        <v>22</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145</v>
      </c>
      <c r="C64" t="n">
        <v>126</v>
      </c>
      <c r="D64" t="n">
        <v>119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2026-06-28T05:27:38Z</dcterms:created>
  <dcterms:modified xsi:type="dcterms:W3CDTF">2026-06-28T05:27:39Z</dcterms:modified>
</cp:coreProperties>
</file>