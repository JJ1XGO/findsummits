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'収束グラフ'!$A$2:$A$58</f>
            </strRef>
          </cat>
          <val>
            <numRef>
              <f>'収束グラフ'!$B$2:$B$58</f>
            </numRef>
          </val>
        </ser>
        <ser>
          <idx val="1"/>
          <order val="1"/>
          <tx>
            <strRef>
              <f>'収束グラフ'!C1</f>
            </strRef>
          </tx>
          <spPr>
            <a:ln w="20000">
              <a:solidFill>
                <a:srgbClr val="4472C4"/>
              </a:solidFill>
              <a:prstDash val="solid"/>
            </a:ln>
          </spPr>
          <marker>
            <symbol val="none"/>
            <spPr>
              <a:ln>
                <a:prstDash val="solid"/>
              </a:ln>
            </spPr>
          </marker>
          <cat>
            <strRef>
              <f>'収束グラフ'!$A$2:$A$58</f>
            </strRef>
          </cat>
          <val>
            <numRef>
              <f>'収束グラフ'!$C$2:$C$58</f>
            </numRef>
          </val>
        </ser>
        <ser>
          <idx val="2"/>
          <order val="2"/>
          <tx>
            <strRef>
              <f>'収束グラフ'!D1</f>
            </strRef>
          </tx>
          <spPr>
            <a:ln w="20000">
              <a:solidFill>
                <a:srgbClr val="70AD47"/>
              </a:solidFill>
              <a:prstDash val="solid"/>
            </a:ln>
          </spPr>
          <marker>
            <symbol val="none"/>
            <spPr>
              <a:ln>
                <a:prstDash val="solid"/>
              </a:ln>
            </spPr>
          </marker>
          <cat>
            <strRef>
              <f>'収束グラフ'!$A$2:$A$58</f>
            </strRef>
          </cat>
          <val>
            <numRef>
              <f>'収束グラフ'!$D$2:$D$58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対応完了</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is>
          <t>2026-06-21</t>
        </is>
      </c>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対応完了</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is>
          <t>2026-06-21</t>
        </is>
      </c>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対応完了</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is>
          <t>2026-06-21</t>
        </is>
      </c>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row r="116" ht="40" customHeight="1">
      <c r="A116" s="6" t="inlineStr">
        <is>
          <t>ISSUE-116</t>
        </is>
      </c>
      <c r="B116" s="6" t="inlineStr">
        <is>
          <t>FR-013レビュー: metadata責務分離・正準定義移動・license_url統一</t>
        </is>
      </c>
      <c r="C116" s="6"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6" t="inlineStr">
        <is>
          <t>改善</t>
        </is>
      </c>
      <c r="E116" s="3" t="inlineStr">
        <is>
          <t>高</t>
        </is>
      </c>
      <c r="F116" s="6" t="inlineStr">
        <is>
          <t>merge.py</t>
        </is>
      </c>
      <c r="G116" s="6" t="inlineStr">
        <is>
          <t>Sonnet</t>
        </is>
      </c>
      <c r="H116" s="6" t="inlineStr">
        <is>
          <t>2026-06-19</t>
        </is>
      </c>
      <c r="I116" s="6" t="inlineStr">
        <is>
          <t>SRS</t>
        </is>
      </c>
      <c r="J116" s="6" t="inlineStr"/>
      <c r="K116" s="6" t="inlineStr">
        <is>
          <t>対応完了</t>
        </is>
      </c>
      <c r="L116" s="6" t="inlineStr">
        <is>
          <t>Sonnet</t>
        </is>
      </c>
      <c r="M116" s="6"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6" t="inlineStr"/>
      <c r="O116" s="6" t="inlineStr">
        <is>
          <t>2026-06-19</t>
        </is>
      </c>
      <c r="P116" s="6" t="inlineStr"/>
    </row>
    <row r="117" ht="40" customHeight="1">
      <c r="A117" s="7" t="inlineStr">
        <is>
          <t>ISSUE-117</t>
        </is>
      </c>
      <c r="B117" s="7" t="inlineStr">
        <is>
          <t>FR-013レビュー: gsi_tile_latest_date を FR-001 起点で上流化</t>
        </is>
      </c>
      <c r="C117" s="7"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7" t="inlineStr">
        <is>
          <t>改善</t>
        </is>
      </c>
      <c r="E117" s="3" t="inlineStr">
        <is>
          <t>高</t>
        </is>
      </c>
      <c r="F117" s="7" t="inlineStr">
        <is>
          <t>prefetch</t>
        </is>
      </c>
      <c r="G117" s="7" t="inlineStr">
        <is>
          <t>Sonnet</t>
        </is>
      </c>
      <c r="H117" s="7" t="inlineStr">
        <is>
          <t>2026-06-19</t>
        </is>
      </c>
      <c r="I117" s="7" t="inlineStr">
        <is>
          <t>SRS</t>
        </is>
      </c>
      <c r="J117" s="7" t="inlineStr"/>
      <c r="K117" s="7" t="inlineStr">
        <is>
          <t>対応完了</t>
        </is>
      </c>
      <c r="L117" s="7" t="inlineStr">
        <is>
          <t>Sonnet</t>
        </is>
      </c>
      <c r="M117" s="7"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7" t="inlineStr"/>
      <c r="O117" s="7" t="inlineStr">
        <is>
          <t>2026-06-19</t>
        </is>
      </c>
      <c r="P117" s="7" t="inlineStr"/>
    </row>
    <row r="118" ht="40" customHeight="1">
      <c r="A118" s="6" t="inlineStr">
        <is>
          <t>ISSUE-118</t>
        </is>
      </c>
      <c r="B118" s="6" t="inlineStr">
        <is>
          <t>FR-013レビュー: 不備確認責務を geojson metadata から xlsx へ移行</t>
        </is>
      </c>
      <c r="C118" s="6"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6" t="inlineStr">
        <is>
          <t>改善</t>
        </is>
      </c>
      <c r="E118" s="3" t="inlineStr">
        <is>
          <t>高</t>
        </is>
      </c>
      <c r="F118" s="6" t="inlineStr">
        <is>
          <t>merge.py</t>
        </is>
      </c>
      <c r="G118" s="6" t="inlineStr">
        <is>
          <t>Sonnet</t>
        </is>
      </c>
      <c r="H118" s="6" t="inlineStr">
        <is>
          <t>2026-06-19</t>
        </is>
      </c>
      <c r="I118" s="6" t="inlineStr">
        <is>
          <t>SRS</t>
        </is>
      </c>
      <c r="J118" s="6" t="inlineStr"/>
      <c r="K118" s="6" t="inlineStr">
        <is>
          <t>対応完了</t>
        </is>
      </c>
      <c r="L118" s="6" t="inlineStr">
        <is>
          <t>Sonnet</t>
        </is>
      </c>
      <c r="M118" s="6"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6" t="inlineStr"/>
      <c r="O118" s="6" t="inlineStr">
        <is>
          <t>2026-06-19</t>
        </is>
      </c>
      <c r="P118" s="6" t="inlineStr"/>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7" t="inlineStr">
        <is>
          <t>ISSUE-121</t>
        </is>
      </c>
      <c r="B121" s="7" t="inlineStr">
        <is>
          <t>merged_summit.geojson スキーマ正本を生成者 FR-009 へ移設（消費者 FR-013 から）</t>
        </is>
      </c>
      <c r="C121" s="7"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7" t="inlineStr">
        <is>
          <t>設計</t>
        </is>
      </c>
      <c r="E121" s="3" t="inlineStr">
        <is>
          <t>高</t>
        </is>
      </c>
      <c r="F121" s="7" t="inlineStr">
        <is>
          <t>GeoJSON出力</t>
        </is>
      </c>
      <c r="G121" s="7" t="inlineStr">
        <is>
          <t>Opus</t>
        </is>
      </c>
      <c r="H121" s="7" t="inlineStr">
        <is>
          <t>2026-06-21</t>
        </is>
      </c>
      <c r="I121" s="7" t="inlineStr">
        <is>
          <t>SRS</t>
        </is>
      </c>
      <c r="J121" s="7" t="inlineStr"/>
      <c r="K121" s="7" t="inlineStr">
        <is>
          <t>対応完了</t>
        </is>
      </c>
      <c r="L121" s="7" t="inlineStr"/>
      <c r="M121" s="7" t="inlineStr">
        <is>
          <t>スキーマ正本を FR-009（または 7.2 内部データ）へ移設し、FR-013/FR-019 は参照に統一する。</t>
        </is>
      </c>
      <c r="N121" s="7" t="inlineStr"/>
      <c r="O121" s="7" t="inlineStr">
        <is>
          <t>2026-06-22</t>
        </is>
      </c>
      <c r="P121" s="7" t="inlineStr"/>
    </row>
    <row r="122" ht="40" customHeight="1">
      <c r="A122" s="6" t="inlineStr">
        <is>
          <t>ISSUE-122</t>
        </is>
      </c>
      <c r="B122" s="6" t="inlineStr">
        <is>
          <t>FR-013↔FR-019 の役割境界整理（生成機構の記述位置）</t>
        </is>
      </c>
      <c r="C122" s="6" t="inlineStr">
        <is>
          <t>FR-013 は『生成』と銘打つが、生成機構（テンプレート同梱・JS変数埋め込み・出力パス merged_viewer.html）の記述が FR-019(L1099-1100) 側にある。FR-013(L938)↔FR-019 の役割境界が曖昧。</t>
        </is>
      </c>
      <c r="D122" s="6" t="inlineStr">
        <is>
          <t>改善</t>
        </is>
      </c>
      <c r="E122" s="4" t="inlineStr">
        <is>
          <t>中</t>
        </is>
      </c>
      <c r="F122" s="6" t="inlineStr">
        <is>
          <t>その他</t>
        </is>
      </c>
      <c r="G122" s="6" t="inlineStr">
        <is>
          <t>Opus</t>
        </is>
      </c>
      <c r="H122" s="6" t="inlineStr">
        <is>
          <t>2026-06-21</t>
        </is>
      </c>
      <c r="I122" s="6" t="inlineStr">
        <is>
          <t>SRS</t>
        </is>
      </c>
      <c r="J122" s="6" t="inlineStr"/>
      <c r="K122" s="6" t="inlineStr">
        <is>
          <t>対応完了</t>
        </is>
      </c>
      <c r="L122" s="6" t="inlineStr"/>
      <c r="M122" s="6" t="inlineStr">
        <is>
          <t>生成手順=FR-013、ブラウザ提供機能=FR-019 に責務を整理する。</t>
        </is>
      </c>
      <c r="N122" s="6" t="inlineStr"/>
      <c r="O122" s="6" t="inlineStr">
        <is>
          <t>2026-06-22</t>
        </is>
      </c>
      <c r="P122" s="6" t="inlineStr"/>
    </row>
    <row r="123" ht="40" customHeight="1">
      <c r="A123" s="7" t="inlineStr">
        <is>
          <t>ISSUE-123</t>
        </is>
      </c>
      <c r="B123" s="7" t="inlineStr">
        <is>
          <t>viewer 使用 metadata キー列挙の重複・不一致を集約（FR-013/FR-019）</t>
        </is>
      </c>
      <c r="C123" s="7" t="inlineStr">
        <is>
          <t>viewer が使う metadata キー列挙が FR-013(L954-958, 6件) と FR-019(L1123-1126, 表示用3件) で重複かつ内容不一致。</t>
        </is>
      </c>
      <c r="D123" s="7" t="inlineStr">
        <is>
          <t>改善</t>
        </is>
      </c>
      <c r="E123" s="4" t="inlineStr">
        <is>
          <t>中</t>
        </is>
      </c>
      <c r="F123" s="7" t="inlineStr">
        <is>
          <t>その他</t>
        </is>
      </c>
      <c r="G123" s="7" t="inlineStr">
        <is>
          <t>Opus</t>
        </is>
      </c>
      <c r="H123" s="7" t="inlineStr">
        <is>
          <t>2026-06-21</t>
        </is>
      </c>
      <c r="I123" s="7" t="inlineStr">
        <is>
          <t>SRS</t>
        </is>
      </c>
      <c r="J123" s="7" t="inlineStr"/>
      <c r="K123" s="7" t="inlineStr">
        <is>
          <t>対応完了</t>
        </is>
      </c>
      <c r="L123" s="7" t="inlineStr"/>
      <c r="M123" s="7" t="inlineStr">
        <is>
          <t>一方へ集約し他方は参照にする。</t>
        </is>
      </c>
      <c r="N123" s="7" t="inlineStr"/>
      <c r="O123" s="7" t="inlineStr">
        <is>
          <t>2026-06-22</t>
        </is>
      </c>
      <c r="P123" s="7" t="inlineStr"/>
    </row>
    <row r="124" ht="40" customHeight="1">
      <c r="A124" s="6" t="inlineStr">
        <is>
          <t>ISSUE-124</t>
        </is>
      </c>
      <c r="B124" s="6" t="inlineStr">
        <is>
          <t>AZ area_complete=false の死に仕様を明確化（viewer 到達データでは常に true）</t>
        </is>
      </c>
      <c r="C124" s="6"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6" t="inlineStr">
        <is>
          <t>改善</t>
        </is>
      </c>
      <c r="E124" s="4" t="inlineStr">
        <is>
          <t>中</t>
        </is>
      </c>
      <c r="F124" s="6" t="inlineStr">
        <is>
          <t>GeoJSON出力</t>
        </is>
      </c>
      <c r="G124" s="6" t="inlineStr">
        <is>
          <t>Opus</t>
        </is>
      </c>
      <c r="H124" s="6" t="inlineStr">
        <is>
          <t>2026-06-21</t>
        </is>
      </c>
      <c r="I124" s="6" t="inlineStr">
        <is>
          <t>SRS</t>
        </is>
      </c>
      <c r="J124" s="6" t="inlineStr"/>
      <c r="K124" s="6" t="inlineStr">
        <is>
          <t>対応完了</t>
        </is>
      </c>
      <c r="L124" s="6" t="inlineStr"/>
      <c r="M124" s="6" t="inlineStr">
        <is>
          <t>merged_summit.geojson 文脈では常に true である旨を注記、または中間データ専用と明確化する。</t>
        </is>
      </c>
      <c r="N124" s="6" t="inlineStr"/>
      <c r="O124" s="6" t="inlineStr">
        <is>
          <t>2026-06-22</t>
        </is>
      </c>
      <c r="P124" s="6" t="inlineStr"/>
    </row>
    <row r="125" ht="40" customHeight="1">
      <c r="A125" s="7" t="inlineStr">
        <is>
          <t>ISSUE-125</t>
        </is>
      </c>
      <c r="B125" s="7" t="inlineStr">
        <is>
          <t>key_col_resolved=false ピークの prominence プロパティ値表現を規定</t>
        </is>
      </c>
      <c r="C125" s="7"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7" t="inlineStr">
        <is>
          <t>設計</t>
        </is>
      </c>
      <c r="E125" s="4" t="inlineStr">
        <is>
          <t>中</t>
        </is>
      </c>
      <c r="F125" s="7" t="inlineStr">
        <is>
          <t>GeoJSON出力</t>
        </is>
      </c>
      <c r="G125" s="7" t="inlineStr">
        <is>
          <t>Opus</t>
        </is>
      </c>
      <c r="H125" s="7" t="inlineStr">
        <is>
          <t>2026-06-21</t>
        </is>
      </c>
      <c r="I125" s="7" t="inlineStr">
        <is>
          <t>SRS</t>
        </is>
      </c>
      <c r="J125" s="7" t="inlineStr"/>
      <c r="K125" s="7" t="inlineStr">
        <is>
          <t>対応完了</t>
        </is>
      </c>
      <c r="L125" s="7" t="inlineStr"/>
      <c r="M125" s="7" t="inlineStr">
        <is>
          <t>未確定時の prominence 値の表現（空文字/省略 等）を SRS に規定する。</t>
        </is>
      </c>
      <c r="N125" s="7" t="inlineStr"/>
      <c r="O125" s="7" t="inlineStr">
        <is>
          <t>2026-06-22</t>
        </is>
      </c>
      <c r="P125" s="7" t="inlineStr"/>
    </row>
    <row r="126" ht="40" customHeight="1">
      <c r="A126" s="6" t="inlineStr">
        <is>
          <t>ISSUE-126</t>
        </is>
      </c>
      <c r="B126" s="6" t="inlineStr">
        <is>
          <t>dominant 複数削除候補の対応識別（coord_diff/summit の相手コードプロパティ）</t>
        </is>
      </c>
      <c r="C126" s="6"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6" t="inlineStr">
        <is>
          <t>設計</t>
        </is>
      </c>
      <c r="E126" s="4" t="inlineStr">
        <is>
          <t>中</t>
        </is>
      </c>
      <c r="F126" s="6" t="inlineStr">
        <is>
          <t>GeoJSON出力</t>
        </is>
      </c>
      <c r="G126" s="6" t="inlineStr">
        <is>
          <t>Opus</t>
        </is>
      </c>
      <c r="H126" s="6" t="inlineStr">
        <is>
          <t>2026-06-21</t>
        </is>
      </c>
      <c r="I126" s="6" t="inlineStr">
        <is>
          <t>SRS</t>
        </is>
      </c>
      <c r="J126" s="6" t="inlineStr"/>
      <c r="K126" s="6" t="inlineStr">
        <is>
          <t>対応完了</t>
        </is>
      </c>
      <c r="L126" s="6" t="inlineStr"/>
      <c r="M126" s="6"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6" t="inlineStr"/>
      <c r="O126" s="6" t="inlineStr">
        <is>
          <t>2026-06-22</t>
        </is>
      </c>
      <c r="P126" s="6" t="inlineStr"/>
    </row>
  </sheetData>
  <dataValidations count="5">
    <dataValidation sqref="K2:K126" showDropDown="0" showInputMessage="0" showErrorMessage="0" allowBlank="1" type="list">
      <formula1>"未対応,対応中,対応完了,解決済,却下"</formula1>
    </dataValidation>
    <dataValidation sqref="E2:E126" showDropDown="0" showInputMessage="0" showErrorMessage="0" allowBlank="1" type="list">
      <formula1>"高,中,低"</formula1>
    </dataValidation>
    <dataValidation sqref="D2:D126" showDropDown="0" showInputMessage="0" showErrorMessage="0" allowBlank="1" type="list">
      <formula1>"改善,調査,設計"</formula1>
    </dataValidation>
    <dataValidation sqref="I2:I126" showDropDown="0" showInputMessage="0" showErrorMessage="0" allowBlank="1" type="list">
      <formula1>"URD,SRS,HLD,LLD,COD,UT,IT,ST,OPS"</formula1>
    </dataValidation>
    <dataValidation sqref="J2:J12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125</v>
      </c>
    </row>
    <row r="3">
      <c r="A3" s="10" t="inlineStr">
        <is>
          <t>未解決件数</t>
        </is>
      </c>
      <c r="B3" s="11" t="n">
        <v>41</v>
      </c>
    </row>
    <row r="4">
      <c r="A4" s="10" t="inlineStr">
        <is>
          <t>解決済件数</t>
        </is>
      </c>
      <c r="B4" s="11" t="n">
        <v>67</v>
      </c>
    </row>
    <row r="5">
      <c r="A5" s="10" t="inlineStr">
        <is>
          <t>解決率</t>
        </is>
      </c>
      <c r="B5" s="11" t="inlineStr">
        <is>
          <t>53.6%</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20</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17</v>
      </c>
    </row>
    <row r="16">
      <c r="A16" s="10" t="inlineStr">
        <is>
          <t>中</t>
        </is>
      </c>
      <c r="B16" s="11" t="n">
        <v>21</v>
      </c>
    </row>
    <row r="17">
      <c r="A17" s="10" t="inlineStr">
        <is>
          <t>低</t>
        </is>
      </c>
      <c r="B17" s="11" t="n">
        <v>3</v>
      </c>
    </row>
    <row r="19">
      <c r="A19" s="8" t="inlineStr">
        <is>
          <t>種別別（未解決）</t>
        </is>
      </c>
      <c r="B19" s="9" t="n"/>
    </row>
    <row r="20">
      <c r="A20" s="10" t="inlineStr">
        <is>
          <t>改善</t>
        </is>
      </c>
      <c r="B20" s="11" t="n">
        <v>22</v>
      </c>
    </row>
    <row r="21">
      <c r="A21" s="10" t="inlineStr">
        <is>
          <t>調査</t>
        </is>
      </c>
      <c r="B21" s="11" t="n">
        <v>2</v>
      </c>
    </row>
    <row r="22">
      <c r="A22" s="10" t="inlineStr">
        <is>
          <t>設計</t>
        </is>
      </c>
      <c r="B22" s="11" t="n">
        <v>14</v>
      </c>
    </row>
    <row r="24">
      <c r="A24" s="8" t="inlineStr">
        <is>
          <t>カテゴリ別（未解決）</t>
        </is>
      </c>
      <c r="B24" s="9" t="n"/>
    </row>
    <row r="25">
      <c r="A25" s="10" t="inlineStr">
        <is>
          <t>解析エンジン</t>
        </is>
      </c>
      <c r="B25" s="11" t="n">
        <v>4</v>
      </c>
    </row>
    <row r="26">
      <c r="A26" s="10" t="inlineStr">
        <is>
          <t>merge.py</t>
        </is>
      </c>
      <c r="B26" s="11" t="n">
        <v>6</v>
      </c>
    </row>
    <row r="27">
      <c r="A27" s="10" t="inlineStr">
        <is>
          <t>GeoJSON出力</t>
        </is>
      </c>
      <c r="B27" s="11" t="n">
        <v>9</v>
      </c>
    </row>
    <row r="28">
      <c r="A28" s="10" t="inlineStr">
        <is>
          <t>prefetch</t>
        </is>
      </c>
      <c r="B28" s="11" t="n">
        <v>1</v>
      </c>
    </row>
    <row r="29">
      <c r="A29" s="10" t="inlineStr">
        <is>
          <t>設定</t>
        </is>
      </c>
      <c r="B29" s="11" t="n">
        <v>1</v>
      </c>
    </row>
    <row r="30">
      <c r="A30" s="10" t="inlineStr">
        <is>
          <t>その他</t>
        </is>
      </c>
      <c r="B30" s="11" t="n">
        <v>7</v>
      </c>
    </row>
    <row r="32">
      <c r="A32" s="8" t="inlineStr">
        <is>
          <t>ステージ別（未解決）</t>
        </is>
      </c>
      <c r="B32" s="9" t="n"/>
    </row>
    <row r="33">
      <c r="A33" s="10" t="inlineStr">
        <is>
          <t>SRS</t>
        </is>
      </c>
      <c r="B33" s="11" t="n">
        <v>37</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2026-06-22T06:17:06Z</dcterms:created>
  <dcterms:modified xsi:type="dcterms:W3CDTF">2026-06-22T06:17:07Z</dcterms:modified>
</cp:coreProperties>
</file>