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'収束グラフ'!$A$2:$A$26</f>
            </strRef>
          </cat>
          <val>
            <numRef>
              <f>'収束グラフ'!$B$2:$B$26</f>
            </numRef>
          </val>
        </ser>
        <ser>
          <idx val="1"/>
          <order val="1"/>
          <tx>
            <strRef>
              <f>'収束グラフ'!C1</f>
            </strRef>
          </tx>
          <spPr>
            <a:ln w="20000">
              <a:solidFill>
                <a:srgbClr val="4472C4"/>
              </a:solidFill>
              <a:prstDash val="solid"/>
            </a:ln>
          </spPr>
          <marker>
            <symbol val="none"/>
            <spPr>
              <a:ln>
                <a:prstDash val="solid"/>
              </a:ln>
            </spPr>
          </marker>
          <cat>
            <strRef>
              <f>'収束グラフ'!$A$2:$A$26</f>
            </strRef>
          </cat>
          <val>
            <numRef>
              <f>'収束グラフ'!$C$2:$C$26</f>
            </numRef>
          </val>
        </ser>
        <ser>
          <idx val="2"/>
          <order val="2"/>
          <tx>
            <strRef>
              <f>'収束グラフ'!D1</f>
            </strRef>
          </tx>
          <spPr>
            <a:ln w="20000">
              <a:solidFill>
                <a:srgbClr val="70AD47"/>
              </a:solidFill>
              <a:prstDash val="solid"/>
            </a:ln>
          </spPr>
          <marker>
            <symbol val="none"/>
            <spPr>
              <a:ln>
                <a:prstDash val="solid"/>
              </a:ln>
            </spPr>
          </marker>
          <cat>
            <strRef>
              <f>'収束グラフ'!$A$2:$A$26</f>
            </strRef>
          </cat>
          <val>
            <numRef>
              <f>'収束グラフ'!$D$2:$D$26</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着手前に plan.md の Ph.2〜Ph.5 設計と現在のアーキテクチャの整合を確認すること。ref/SOTA-Summit-list-revision-request.xlsx の列定義を事前確認。</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5" t="inlineStr">
        <is>
          <t>中</t>
        </is>
      </c>
      <c r="F15" s="2" t="inlineStr"/>
      <c r="G15" s="2" t="inlineStr"/>
      <c r="H15" s="2" t="inlineStr">
        <is>
          <t>2026-05-09</t>
        </is>
      </c>
      <c r="I15" s="2" t="inlineStr">
        <is>
          <t>SRS</t>
        </is>
      </c>
      <c r="J15" s="2" t="inlineStr">
        <is>
          <t>解決済</t>
        </is>
      </c>
      <c r="K15" s="2" t="inlineStr"/>
      <c r="L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2" t="inlineStr">
        <is>
          <t>2026-05-10</t>
        </is>
      </c>
      <c r="O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is>
          <t>Sonnet</t>
        </is>
      </c>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is>
          <t>解決済</t>
        </is>
      </c>
      <c r="K20" s="2" t="inlineStr"/>
      <c r="L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N20" s="2" t="inlineStr">
        <is>
          <t>2026-05-20</t>
        </is>
      </c>
      <c r="O20" s="2" t="inlineStr">
        <is>
          <t>2026-05-20</t>
        </is>
      </c>
    </row>
    <row r="21" ht="40" customHeight="1">
      <c r="A21" s="7" t="inlineStr">
        <is>
          <t>ISSUE-020</t>
        </is>
      </c>
      <c r="B21" s="7" t="inlineStr">
        <is>
          <t>FR-013 / FR-014: 手動調査待ちピークの GeoJSON フィーチャ扱い</t>
        </is>
      </c>
      <c r="C21" s="7"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7" t="inlineStr">
        <is>
          <t>設計</t>
        </is>
      </c>
      <c r="E21" s="3" t="inlineStr">
        <is>
          <t>高</t>
        </is>
      </c>
      <c r="F21" s="7" t="inlineStr">
        <is>
          <t>GeoJSON出力</t>
        </is>
      </c>
      <c r="G21" s="7" t="inlineStr"/>
      <c r="H21" s="7" t="inlineStr">
        <is>
          <t>2026-05-14</t>
        </is>
      </c>
      <c r="I21" s="7" t="inlineStr">
        <is>
          <t>SRS</t>
        </is>
      </c>
      <c r="J21" s="7" t="inlineStr">
        <is>
          <t>対応完了</t>
        </is>
      </c>
      <c r="K21" s="7" t="inlineStr"/>
      <c r="L21" s="7"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M21" s="7"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N21" s="7" t="inlineStr">
        <is>
          <t>2026-05-21</t>
        </is>
      </c>
      <c r="O21" s="7" t="inlineStr"/>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5" t="inlineStr">
        <is>
          <t>中</t>
        </is>
      </c>
      <c r="F22" s="2" t="inlineStr">
        <is>
          <t>merge.py</t>
        </is>
      </c>
      <c r="G22" s="2" t="inlineStr"/>
      <c r="H22" s="2" t="inlineStr">
        <is>
          <t>2026-05-14</t>
        </is>
      </c>
      <c r="I22" s="2" t="inlineStr">
        <is>
          <t>SRS</t>
        </is>
      </c>
      <c r="J22" s="2" t="inlineStr">
        <is>
          <t>解決済</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N22" s="2" t="inlineStr">
        <is>
          <t>2026-05-18</t>
        </is>
      </c>
      <c r="O22" s="2" t="inlineStr">
        <is>
          <t>2026-05-20</t>
        </is>
      </c>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4" t="inlineStr">
        <is>
          <t>ISSUE-025</t>
        </is>
      </c>
      <c r="B26" s="4" t="inlineStr">
        <is>
          <t>FR-009 等: 標高バンド境界値（points 1/2/4/6/8/10）の規定</t>
        </is>
      </c>
      <c r="C26" s="4"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4" t="inlineStr">
        <is>
          <t>設計</t>
        </is>
      </c>
      <c r="E26" s="5" t="inlineStr">
        <is>
          <t>中</t>
        </is>
      </c>
      <c r="F26" s="4" t="inlineStr">
        <is>
          <t>merge.py</t>
        </is>
      </c>
      <c r="G26" s="4" t="inlineStr"/>
      <c r="H26" s="4" t="inlineStr">
        <is>
          <t>2026-05-14</t>
        </is>
      </c>
      <c r="I26" s="4" t="inlineStr">
        <is>
          <t>SRS</t>
        </is>
      </c>
      <c r="J26" s="4" t="inlineStr">
        <is>
          <t>未対応</t>
        </is>
      </c>
      <c r="K26" s="4" t="inlineStr"/>
      <c r="L26" s="4" t="inlineStr">
        <is>
          <t>FR-009 の用語定義または GLOSSARY で標高バンド境界表を提示する（SOTA 日本支部の正式表を出典として引用）。緯度区分がある場合は区分も含めて表で記述。</t>
        </is>
      </c>
      <c r="M26" s="4" t="inlineStr"/>
      <c r="N26" s="4" t="inlineStr"/>
      <c r="O26" s="4" t="inlineStr"/>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SRS</t>
        </is>
      </c>
      <c r="J37" s="7" t="inlineStr">
        <is>
          <t>未対応</t>
        </is>
      </c>
      <c r="K37" s="7" t="inlineStr">
        <is>
          <t>Sonnet</t>
        </is>
      </c>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SRS</t>
        </is>
      </c>
      <c r="J38" s="4" t="inlineStr">
        <is>
          <t>未対応</t>
        </is>
      </c>
      <c r="K38" s="4" t="inlineStr">
        <is>
          <t>Sonnet</t>
        </is>
      </c>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未対応</t>
        </is>
      </c>
      <c r="K39" s="7" t="inlineStr">
        <is>
          <t>Sonnet</t>
        </is>
      </c>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SRS</t>
        </is>
      </c>
      <c r="J40" s="4" t="inlineStr">
        <is>
          <t>未対応</t>
        </is>
      </c>
      <c r="K40" s="4" t="inlineStr">
        <is>
          <t>Sonnet</t>
        </is>
      </c>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未対応</t>
        </is>
      </c>
      <c r="K41" s="7" t="inlineStr">
        <is>
          <t>Sonnet</t>
        </is>
      </c>
      <c r="L41" s="7" t="inlineStr"/>
      <c r="M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row r="42" ht="40" customHeight="1">
      <c r="A42" s="4" t="inlineStr">
        <is>
          <t>ISSUE-041</t>
        </is>
      </c>
      <c r="B42" s="4" t="inlineStr">
        <is>
          <t>実装側のフラグ命名追従（is_tile_top → key_col_resolved + 真偽値反転）</t>
        </is>
      </c>
      <c r="C42" s="4"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4" t="inlineStr">
        <is>
          <t>改善</t>
        </is>
      </c>
      <c r="E42" s="5" t="inlineStr">
        <is>
          <t>中</t>
        </is>
      </c>
      <c r="F42" s="4" t="inlineStr">
        <is>
          <t>その他</t>
        </is>
      </c>
      <c r="G42" s="4" t="inlineStr"/>
      <c r="H42" s="4" t="inlineStr">
        <is>
          <t>2026-05-19</t>
        </is>
      </c>
      <c r="I42" s="4" t="inlineStr">
        <is>
          <t>SRS</t>
        </is>
      </c>
      <c r="J42" s="4" t="inlineStr">
        <is>
          <t>未対応</t>
        </is>
      </c>
      <c r="K42" s="4" t="inlineStr">
        <is>
          <t>Sonnet</t>
        </is>
      </c>
      <c r="L42" s="4" t="inlineStr"/>
      <c r="M42" s="4"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N42" s="4" t="inlineStr"/>
      <c r="O42" s="4"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5" t="inlineStr">
        <is>
          <t>中</t>
        </is>
      </c>
      <c r="F43" s="7" t="inlineStr">
        <is>
          <t>その他</t>
        </is>
      </c>
      <c r="G43" s="7" t="inlineStr">
        <is>
          <t>ユーザー</t>
        </is>
      </c>
      <c r="H43" s="7" t="inlineStr">
        <is>
          <t>2026-05-20</t>
        </is>
      </c>
      <c r="I43" s="7" t="inlineStr">
        <is>
          <t>SRS</t>
        </is>
      </c>
      <c r="J43" s="7" t="inlineStr">
        <is>
          <t>未対応</t>
        </is>
      </c>
      <c r="K43" s="7" t="inlineStr"/>
      <c r="L43" s="7" t="inlineStr"/>
      <c r="M43" s="7" t="inlineStr">
        <is>
          <t>ISSUE-019 のクローズ時にユーザーから登録要望が出た案件。</t>
        </is>
      </c>
      <c r="N43" s="7" t="inlineStr"/>
      <c r="O43" s="7" t="inlineStr"/>
    </row>
    <row r="44" ht="40" customHeight="1">
      <c r="A44" s="4" t="inlineStr">
        <is>
          <t>ISSUE-043</t>
        </is>
      </c>
      <c r="B44" s="4" t="inlineStr">
        <is>
          <t>merge.py: delete判定ゾーン対応（AZ/delete-zone PIP、不備フラグ列、exit code、dominant 改名）</t>
        </is>
      </c>
      <c r="C44" s="4" t="inlineStr">
        <is>
          <t>ADR-011（delete判定ゾーンポリゴン）採用に伴う merge.py の改修。SRS FR-009 / ADR-007 / ADR-008 / ADR-011 の仕様を実装に反映する。</t>
        </is>
      </c>
      <c r="D44" s="4" t="inlineStr">
        <is>
          <t>改善</t>
        </is>
      </c>
      <c r="E44" s="3" t="inlineStr">
        <is>
          <t>高</t>
        </is>
      </c>
      <c r="F44" s="4" t="inlineStr">
        <is>
          <t>merge.py</t>
        </is>
      </c>
      <c r="G44" s="4" t="inlineStr">
        <is>
          <t>JJ1XGO</t>
        </is>
      </c>
      <c r="H44" s="4" t="inlineStr">
        <is>
          <t>2026-05-21</t>
        </is>
      </c>
      <c r="I44" s="4" t="inlineStr">
        <is>
          <t>COD</t>
        </is>
      </c>
      <c r="J44" s="4" t="inlineStr">
        <is>
          <t>未対応</t>
        </is>
      </c>
      <c r="K44" s="4" t="inlineStr"/>
      <c r="L44" s="4" t="inlineStr"/>
      <c r="M44" s="4" t="inlineStr">
        <is>
          <t>【作業範囲】
1. per-mesh activation.geojson から AZ ポリゴン（feature_type='activation_zone'）と delete判定ゾーンポリゴン（feature_type='delete_zone'）を読み込む
2. 各ポリゴンに対して shapely.strtree.STRtree で空間インデックス構築
3. summit.match_status 判定（SRS FR-009 / ADR-011）:
   - matched: いずれかのピークの AZ 内
   - delete: いずれかのピークの delete判定ゾーン内かつ AZ 外
   - unmatched: いずれにも該当しない（エラー）
4. peak.match_status 判定（ADR-007 / ADR-008）:
   - matched: ピークの AZ 内に既存サミット座標あり
   - dominant: ピークの delete判定ゾーン内かつ AZ 外に既存サミット座標あり（複数ピーク該当時は最小プロミネンスを採用）
   - new: いずれにも該当せず
5. merged.csv に不備フラグ列追加（いずれか true なら non-zero exit）:
   - is_unmatched_summit
   - is_area_incomplete（FR-018 統合後も area_complete=true が見つからない）
   - is_key_col_unresolved（FR-014 広域でも未確定）
   - is_out_of_range_summit（解析範囲外のサミット）
   - is_dem_invalid_summit（DEM が NODATA）
6. 既存の peak.match_status 出力値: deleted → dominant にリネーム（ADR-007）
7. summit.match_status 出力値: deleted → delete にリネーム（ADR-007）
【検証ポイント】
- 九州・四国の既存解析結果に新ロジック適用 → 削除 6 件すべて delete 判定
- 不備フラグが立つテストケースで non-zero exit を確認
【依存関係】
- ISSUE-040（C++/OpenCV で FR-016 実装）完了後、per-mesh activation.geojson が出力される必要がある
- ただし Python 側の実装はモック GeoJSON で先行可能
【参照】
- SRS docs/02_SRS.md FR-009 / FR-013 / 6.8 / 6.11
- ADR docs/decisions/ADR-007 / ADR-008 / ADR-011
【元 ISSUE】ISSUE-020 から分離（設計フェーズは完結、これは実装フェーズ）</t>
        </is>
      </c>
      <c r="N44" s="4" t="inlineStr"/>
      <c r="O44" s="4"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COD</t>
        </is>
      </c>
      <c r="J45" s="7" t="inlineStr">
        <is>
          <t>未対応</t>
        </is>
      </c>
      <c r="K45" s="7" t="inlineStr"/>
      <c r="L45" s="7" t="inlineStr"/>
      <c r="M45" s="7" t="inlineStr">
        <is>
          <t>【作業範囲】
1. dominant フィーチャ構成変更:
   - 旧: コル等高線ポリゴン（feature_type='key_col_boundary'）→ 廃止
   - 新: delete判定ゾーンポリゴン（feature_type='delete_zone'）→ dominant ピークに付与
2. summit.match_status の出力値変更: deleted → delete
3. peak.match_status の出力値変更: deleted → dominant
4. merged.csv の不備フラグ列確認、いずれか true なら実行スキップ（merge.py が non-zero exit するため二重チェック）
5. merged_viewer.html の実装（SRS FR-013 で要求済みだが未実装）:
   - peak の matched / new / dominant をフィルタ UI で切替表示
   - summit の matched / delete をフィルタ表示
   - HTML データ属性 data-cat に dominant / delete を分けて格納
【検証ポイント】
- 地理院地図上で AZ・delete判定ゾーン両ポリゴンが目視確認できる
- HTML ビューアで peak/summit のフィルタ切替が動く
【依存関係】
- ISSUE-043（merge.py 改修）完了後に着手するのが自然
【参照】
- SRS docs/02_SRS.md FR-013
- ADR docs/decisions/ADR-007 / ADR-011
【元 ISSUE】ISSUE-020 から分離（設計フェーズは完結、これは実装フェーズ）</t>
        </is>
      </c>
      <c r="N45" s="7" t="inlineStr"/>
      <c r="O45" s="7" t="inlineStr"/>
    </row>
    <row r="46" ht="40" customHeight="1">
      <c r="A46" s="4" t="inlineStr">
        <is>
          <t>ISSUE-045</t>
        </is>
      </c>
      <c r="B46" s="4" t="inlineStr">
        <is>
          <t>params/config.ini.example: delete_zone_max_drop = 250 パラメータ追加</t>
        </is>
      </c>
      <c r="C46" s="4" t="inlineStr">
        <is>
          <t>ADR-011 で確定した delete_zone_max_drop（実測値 250m）を config.ini.example に記載し、ユーザー環境への展開を可能にする。</t>
        </is>
      </c>
      <c r="D46" s="4" t="inlineStr">
        <is>
          <t>改善</t>
        </is>
      </c>
      <c r="E46" s="5" t="inlineStr">
        <is>
          <t>中</t>
        </is>
      </c>
      <c r="F46" s="4" t="inlineStr">
        <is>
          <t>設定</t>
        </is>
      </c>
      <c r="G46" s="4" t="inlineStr">
        <is>
          <t>JJ1XGO</t>
        </is>
      </c>
      <c r="H46" s="4" t="inlineStr">
        <is>
          <t>2026-05-21</t>
        </is>
      </c>
      <c r="I46" s="4" t="inlineStr">
        <is>
          <t>COD</t>
        </is>
      </c>
      <c r="J46" s="4" t="inlineStr">
        <is>
          <t>未対応</t>
        </is>
      </c>
      <c r="K46" s="4" t="inlineStr"/>
      <c r="L46" s="4" t="inlineStr"/>
      <c r="M46" s="4"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N46" s="4" t="inlineStr"/>
      <c r="O46" s="4" t="inlineStr"/>
    </row>
  </sheetData>
  <dataValidations count="4">
    <dataValidation sqref="J2:J46" showDropDown="0" showInputMessage="0" showErrorMessage="0" allowBlank="1" type="list">
      <formula1>"未対応,対応中,対応完了,解決済,却下"</formula1>
    </dataValidation>
    <dataValidation sqref="E2:E46" showDropDown="0" showInputMessage="0" showErrorMessage="0" allowBlank="1" type="list">
      <formula1>"高,中,低"</formula1>
    </dataValidation>
    <dataValidation sqref="D2:D46" showDropDown="0" showInputMessage="0" showErrorMessage="0" allowBlank="1" type="list">
      <formula1>"機能追加,改善,調査,設計"</formula1>
    </dataValidation>
    <dataValidation sqref="I2:I46"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45</v>
      </c>
    </row>
    <row r="3">
      <c r="A3" s="10" t="inlineStr">
        <is>
          <t>未解決件数</t>
        </is>
      </c>
      <c r="B3" s="11" t="n">
        <v>28</v>
      </c>
    </row>
    <row r="4">
      <c r="A4" s="10" t="inlineStr">
        <is>
          <t>解決済件数</t>
        </is>
      </c>
      <c r="B4" s="11" t="n">
        <v>13</v>
      </c>
    </row>
    <row r="5">
      <c r="A5" s="10" t="inlineStr">
        <is>
          <t>解決率</t>
        </is>
      </c>
      <c r="B5" s="11" t="inlineStr">
        <is>
          <t>28.9%</t>
        </is>
      </c>
    </row>
    <row r="7">
      <c r="A7" s="8" t="inlineStr">
        <is>
          <t>ステータス別</t>
        </is>
      </c>
      <c r="B7" s="9" t="n"/>
    </row>
    <row r="8">
      <c r="A8" s="10" t="inlineStr">
        <is>
          <t>未対応</t>
        </is>
      </c>
      <c r="B8" s="11" t="n">
        <v>27</v>
      </c>
    </row>
    <row r="9">
      <c r="A9" s="10" t="inlineStr">
        <is>
          <t>対応中</t>
        </is>
      </c>
      <c r="B9" s="11" t="n">
        <v>0</v>
      </c>
    </row>
    <row r="10">
      <c r="A10" s="10" t="inlineStr">
        <is>
          <t>対応完了</t>
        </is>
      </c>
      <c r="B10" s="11" t="n">
        <v>1</v>
      </c>
    </row>
    <row r="11">
      <c r="A11" s="10" t="inlineStr">
        <is>
          <t>解決済</t>
        </is>
      </c>
      <c r="B11" s="11" t="n">
        <v>13</v>
      </c>
    </row>
    <row r="12">
      <c r="A12" s="10" t="inlineStr">
        <is>
          <t>却下</t>
        </is>
      </c>
      <c r="B12" s="11" t="n">
        <v>4</v>
      </c>
    </row>
    <row r="14">
      <c r="A14" s="8" t="inlineStr">
        <is>
          <t>優先度別（未解決）</t>
        </is>
      </c>
      <c r="B14" s="9" t="n"/>
    </row>
    <row r="15">
      <c r="A15" s="10" t="inlineStr">
        <is>
          <t>高</t>
        </is>
      </c>
      <c r="B15" s="11" t="n">
        <v>9</v>
      </c>
    </row>
    <row r="16">
      <c r="A16" s="10" t="inlineStr">
        <is>
          <t>中</t>
        </is>
      </c>
      <c r="B16" s="11" t="n">
        <v>14</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15</v>
      </c>
    </row>
    <row r="22">
      <c r="A22" s="10" t="inlineStr">
        <is>
          <t>調査</t>
        </is>
      </c>
      <c r="B22" s="11" t="n">
        <v>2</v>
      </c>
    </row>
    <row r="23">
      <c r="A23" s="10" t="inlineStr">
        <is>
          <t>設計</t>
        </is>
      </c>
      <c r="B23" s="11" t="n">
        <v>3</v>
      </c>
    </row>
    <row r="25">
      <c r="A25" s="8" t="inlineStr">
        <is>
          <t>カテゴリ別（未解決）</t>
        </is>
      </c>
      <c r="B25" s="9" t="n"/>
    </row>
    <row r="26">
      <c r="A26" s="10" t="inlineStr">
        <is>
          <t>解析エンジン</t>
        </is>
      </c>
      <c r="B26" s="11" t="n">
        <v>6</v>
      </c>
    </row>
    <row r="27">
      <c r="A27" s="10" t="inlineStr">
        <is>
          <t>merge.py</t>
        </is>
      </c>
      <c r="B27" s="11" t="n">
        <v>4</v>
      </c>
    </row>
    <row r="28">
      <c r="A28" s="10" t="inlineStr">
        <is>
          <t>GeoJSON出力</t>
        </is>
      </c>
      <c r="B28" s="11" t="n">
        <v>2</v>
      </c>
    </row>
    <row r="29">
      <c r="A29" s="10" t="inlineStr">
        <is>
          <t>設定</t>
        </is>
      </c>
      <c r="B29" s="11" t="n">
        <v>1</v>
      </c>
    </row>
    <row r="30">
      <c r="A30" s="10" t="inlineStr">
        <is>
          <t>その他</t>
        </is>
      </c>
      <c r="B30" s="11" t="n">
        <v>12</v>
      </c>
    </row>
    <row r="32">
      <c r="A32" s="8" t="inlineStr">
        <is>
          <t>ステージ別（未解決）</t>
        </is>
      </c>
      <c r="B32" s="9" t="n"/>
    </row>
    <row r="33">
      <c r="A33" s="10" t="inlineStr">
        <is>
          <t>URD</t>
        </is>
      </c>
      <c r="B33" s="11" t="n">
        <v>2</v>
      </c>
    </row>
    <row r="34">
      <c r="A34" s="10" t="inlineStr">
        <is>
          <t>SRS</t>
        </is>
      </c>
      <c r="B34" s="11" t="n">
        <v>17</v>
      </c>
    </row>
    <row r="35">
      <c r="A35" s="10" t="inlineStr">
        <is>
          <t>HLD</t>
        </is>
      </c>
      <c r="B35" s="11" t="n">
        <v>1</v>
      </c>
    </row>
    <row r="36">
      <c r="A36" s="10" t="inlineStr">
        <is>
          <t>COD</t>
        </is>
      </c>
      <c r="B36" s="11" t="n">
        <v>6</v>
      </c>
    </row>
    <row r="37">
      <c r="A37" s="10" t="inlineStr">
        <is>
          <t>ST</t>
        </is>
      </c>
      <c r="B37"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2026-05-21T09:33:25Z</dcterms:created>
  <dcterms:modified xsi:type="dcterms:W3CDTF">2026-05-21T09:33:25Z</dcterms:modified>
</cp:coreProperties>
</file>