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'収束グラフ'!$A$2:$A$67</f>
            </strRef>
          </cat>
          <val>
            <numRef>
              <f>'収束グラフ'!$B$2:$B$67</f>
            </numRef>
          </val>
          <smooth val="0"/>
        </ser>
        <ser>
          <idx val="1"/>
          <order val="1"/>
          <tx>
            <strRef>
              <f>'収束グラフ'!C1</f>
            </strRef>
          </tx>
          <spPr>
            <a:ln w="20000">
              <a:solidFill>
                <a:srgbClr val="4472C4"/>
              </a:solidFill>
              <a:prstDash val="solid"/>
            </a:ln>
          </spPr>
          <marker>
            <symbol val="none"/>
            <spPr>
              <a:ln>
                <a:prstDash val="solid"/>
              </a:ln>
            </spPr>
          </marker>
          <cat>
            <strRef>
              <f>'収束グラフ'!$A$2:$A$67</f>
            </strRef>
          </cat>
          <val>
            <numRef>
              <f>'収束グラフ'!$C$2:$C$67</f>
            </numRef>
          </val>
          <smooth val="0"/>
        </ser>
        <ser>
          <idx val="2"/>
          <order val="2"/>
          <tx>
            <strRef>
              <f>'収束グラフ'!D1</f>
            </strRef>
          </tx>
          <spPr>
            <a:ln w="20000">
              <a:solidFill>
                <a:srgbClr val="70AD47"/>
              </a:solidFill>
              <a:prstDash val="solid"/>
            </a:ln>
          </spPr>
          <marker>
            <symbol val="none"/>
            <spPr>
              <a:ln>
                <a:prstDash val="solid"/>
              </a:ln>
            </spPr>
          </marker>
          <cat>
            <strRef>
              <f>'収束グラフ'!$A$2:$A$67</f>
            </strRef>
          </cat>
          <val>
            <numRef>
              <f>'収束グラフ'!$D$2:$D$67</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2" t="inlineStr">
        <is>
          <t>ISSUE-074</t>
        </is>
      </c>
      <c r="B75" s="2" t="inlineStr">
        <is>
          <t>Phase構造の再編: Phase 2-1/2-2/3 → Phase 2/3 フェーズ単位ループへ変更</t>
        </is>
      </c>
      <c r="C75" s="2" t="inlineStr">
        <is>
          <t>Phase 2-1/2-2/3 の3区分構造を Phase 2/3 のフェーズ単位ループへ変更する。Phase 3 のループ構造を明示し、3.3.2 俯瞰図と関連 FR 本文を更新する。3.3.1 マトリクスの横軸も Phase 1/2/3/4/5 に再編する。</t>
        </is>
      </c>
      <c r="D75" s="2" t="inlineStr">
        <is>
          <t>改善</t>
        </is>
      </c>
      <c r="E75" s="4" t="inlineStr">
        <is>
          <t>中</t>
        </is>
      </c>
      <c r="F75" s="2" t="inlineStr"/>
      <c r="G75" s="2" t="inlineStr"/>
      <c r="H75" s="2" t="inlineStr">
        <is>
          <t>2026-06-04</t>
        </is>
      </c>
      <c r="I75" s="2" t="inlineStr">
        <is>
          <t>SRS</t>
        </is>
      </c>
      <c r="J75" s="2" t="inlineStr">
        <is>
          <t>SRS</t>
        </is>
      </c>
      <c r="K75" s="2" t="inlineStr">
        <is>
          <t>解決済</t>
        </is>
      </c>
      <c r="L75" s="2" t="inlineStr"/>
      <c r="M75" s="2" t="inlineStr"/>
      <c r="N75" s="2" t="inlineStr"/>
      <c r="O75" s="2" t="inlineStr">
        <is>
          <t>2026-07-01</t>
        </is>
      </c>
      <c r="P75" s="2" t="inlineStr">
        <is>
          <t>2026-07-01</t>
        </is>
      </c>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2" t="inlineStr">
        <is>
          <t>ISSUE-076</t>
        </is>
      </c>
      <c r="B77" s="2" t="inlineStr">
        <is>
          <t>FR-022 出力明示 + フェーズ遷移制御の所在</t>
        </is>
      </c>
      <c r="C77" s="2" t="inlineStr">
        <is>
          <t>FR-022 出力テーブルに「未解決ピーク座標リスト」「次の N 値」「次のアクション (Phase 3 起動 / Phase 4 移行)」を明示する。フェーズ遷移制御を SRS のどこまで規定し HLD に何を委ねるかを決定する。</t>
        </is>
      </c>
      <c r="D77" s="2" t="inlineStr">
        <is>
          <t>改善</t>
        </is>
      </c>
      <c r="E77" s="4" t="inlineStr">
        <is>
          <t>中</t>
        </is>
      </c>
      <c r="F77" s="2" t="inlineStr"/>
      <c r="G77" s="2" t="inlineStr"/>
      <c r="H77" s="2" t="inlineStr">
        <is>
          <t>2026-06-04</t>
        </is>
      </c>
      <c r="I77" s="2" t="inlineStr">
        <is>
          <t>SRS</t>
        </is>
      </c>
      <c r="J77" s="2" t="inlineStr">
        <is>
          <t>SRS</t>
        </is>
      </c>
      <c r="K77" s="2" t="inlineStr">
        <is>
          <t>解決済</t>
        </is>
      </c>
      <c r="L77" s="2" t="inlineStr"/>
      <c r="M77" s="2" t="inlineStr"/>
      <c r="N77" s="2" t="inlineStr"/>
      <c r="O77" s="2" t="inlineStr">
        <is>
          <t>2026-07-01</t>
        </is>
      </c>
      <c r="P77" s="2" t="inlineStr">
        <is>
          <t>2026-07-01</t>
        </is>
      </c>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2" t="inlineStr">
        <is>
          <t>ISSUE-092</t>
        </is>
      </c>
      <c r="B93" s="2" t="inlineStr">
        <is>
          <t>FR-010 出力テーブルの形式欄が形式記述になっていない</t>
        </is>
      </c>
      <c r="C93" s="2"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2" t="inlineStr">
        <is>
          <t>改善</t>
        </is>
      </c>
      <c r="E93" s="5" t="inlineStr">
        <is>
          <t>低</t>
        </is>
      </c>
      <c r="F93" s="2" t="inlineStr"/>
      <c r="G93" s="2" t="inlineStr">
        <is>
          <t>Sonnet</t>
        </is>
      </c>
      <c r="H93" s="2" t="inlineStr">
        <is>
          <t>2026-06-14</t>
        </is>
      </c>
      <c r="I93" s="2" t="inlineStr">
        <is>
          <t>SRS</t>
        </is>
      </c>
      <c r="J93" s="2" t="inlineStr"/>
      <c r="K93" s="2" t="inlineStr">
        <is>
          <t>解決済</t>
        </is>
      </c>
      <c r="L93" s="2" t="inlineStr">
        <is>
          <t>Sonnet</t>
        </is>
      </c>
      <c r="M93" s="2" t="inlineStr"/>
      <c r="N93" s="2" t="inlineStr">
        <is>
          <t>FR-010 レビュー時に検討。ISSUE-083 で対象外とした別種の問題（形式欄の意味論）。</t>
        </is>
      </c>
      <c r="O93" s="2" t="inlineStr">
        <is>
          <t>2026-07-01</t>
        </is>
      </c>
      <c r="P93" s="2" t="inlineStr">
        <is>
          <t>2026-07-01</t>
        </is>
      </c>
    </row>
    <row r="94" ht="40" customHeight="1">
      <c r="A94" s="2" t="inlineStr">
        <is>
          <t>ISSUE-093</t>
        </is>
      </c>
      <c r="B94" s="2" t="inlineStr">
        <is>
          <t>FR-019 出力テーブルの形式欄が形式記述になっていない</t>
        </is>
      </c>
      <c r="C94" s="2"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2" t="inlineStr">
        <is>
          <t>改善</t>
        </is>
      </c>
      <c r="E94" s="5" t="inlineStr">
        <is>
          <t>低</t>
        </is>
      </c>
      <c r="F94" s="2" t="inlineStr"/>
      <c r="G94" s="2" t="inlineStr">
        <is>
          <t>Sonnet</t>
        </is>
      </c>
      <c r="H94" s="2" t="inlineStr">
        <is>
          <t>2026-06-14</t>
        </is>
      </c>
      <c r="I94" s="2" t="inlineStr">
        <is>
          <t>SRS</t>
        </is>
      </c>
      <c r="J94" s="2" t="inlineStr"/>
      <c r="K94" s="2" t="inlineStr">
        <is>
          <t>解決済</t>
        </is>
      </c>
      <c r="L94" s="2" t="inlineStr">
        <is>
          <t>Sonnet</t>
        </is>
      </c>
      <c r="M94" s="2" t="inlineStr"/>
      <c r="N94" s="2" t="inlineStr">
        <is>
          <t>FR-019 レビュー時に検討。ISSUE-083 で対象外とした別種の問題（形式欄の意味論）。</t>
        </is>
      </c>
      <c r="O94" s="2" t="inlineStr">
        <is>
          <t>2026-07-01</t>
        </is>
      </c>
      <c r="P94" s="2" t="inlineStr">
        <is>
          <t>2026-07-01</t>
        </is>
      </c>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2" t="inlineStr">
        <is>
          <t>ISSUE-120</t>
        </is>
      </c>
      <c r="B120" s="2" t="inlineStr">
        <is>
          <t>課題 type『機能追加』廃止 — 実装タスクの todo 化を防ぐ</t>
        </is>
      </c>
      <c r="C120" s="2"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2" t="inlineStr">
        <is>
          <t>設計</t>
        </is>
      </c>
      <c r="E120" s="4" t="inlineStr">
        <is>
          <t>中</t>
        </is>
      </c>
      <c r="F120" s="2" t="inlineStr"/>
      <c r="G120" s="2" t="inlineStr">
        <is>
          <t>Opus</t>
        </is>
      </c>
      <c r="H120" s="2" t="inlineStr">
        <is>
          <t>2026-06-21</t>
        </is>
      </c>
      <c r="I120" s="2" t="inlineStr"/>
      <c r="J120" s="2" t="inlineStr"/>
      <c r="K120" s="2" t="inlineStr">
        <is>
          <t>解決済</t>
        </is>
      </c>
      <c r="L120" s="2" t="inlineStr"/>
      <c r="M120" s="2"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2" t="inlineStr"/>
      <c r="O120" s="2" t="inlineStr">
        <is>
          <t>2026-07-01</t>
        </is>
      </c>
      <c r="P120" s="2" t="inlineStr">
        <is>
          <t>2026-07-01</t>
        </is>
      </c>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row r="140" ht="40" customHeight="1">
      <c r="A140" s="2" t="inlineStr">
        <is>
          <t>ISSUE-140</t>
        </is>
      </c>
      <c r="B140" s="2" t="inlineStr">
        <is>
          <t>key_col_unresolved_peaks-N.csv のカラム定義（スキーマ）を FR-022 出力テーブル／§7.2.1 に追加</t>
        </is>
      </c>
      <c r="C140" s="2" t="inlineStr">
        <is>
          <t>FR-022 の出力テーブルおよび §7.2.1 No.7 に key_col_unresolved_peaks-N.csv のカラム定義が存在しない。FR-014 入力備考に「key_col_resolved=false のピーク群・緯度経度」と略記されているだけで、公式のカラム一覧定義がない。per-mesh CSV（FR-007 出力参照リンク）・merged_peak.csv（FR-008）と同様の定義レベルが必要。</t>
        </is>
      </c>
      <c r="D140" s="2" t="inlineStr">
        <is>
          <t>設計</t>
        </is>
      </c>
      <c r="E140" s="3" t="inlineStr">
        <is>
          <t>高</t>
        </is>
      </c>
      <c r="F140" s="2" t="inlineStr">
        <is>
          <t>その他</t>
        </is>
      </c>
      <c r="G140" s="2" t="inlineStr"/>
      <c r="H140" s="2" t="inlineStr">
        <is>
          <t>2026-06-28</t>
        </is>
      </c>
      <c r="I140" s="2" t="inlineStr">
        <is>
          <t>SRS</t>
        </is>
      </c>
      <c r="J140" s="2" t="inlineStr"/>
      <c r="K140" s="2" t="inlineStr">
        <is>
          <t>解決済</t>
        </is>
      </c>
      <c r="L140" s="2" t="inlineStr"/>
      <c r="M140" s="2" t="inlineStr">
        <is>
          <t>カラムを確定し（最低限 peak_lat, peak_lon。追加列があれば明示）、FR-022 出力テーブル備考欄か §7.2.2 に定義セクションを追加する。FR-014 入力備考欄も整合させる。</t>
        </is>
      </c>
      <c r="N140" s="2" t="inlineStr"/>
      <c r="O140" s="2" t="inlineStr">
        <is>
          <t>2026-06-28</t>
        </is>
      </c>
      <c r="P140" s="2" t="inlineStr">
        <is>
          <t>2026-06-29</t>
        </is>
      </c>
    </row>
    <row r="141" ht="40" customHeight="1">
      <c r="A141" s="2" t="inlineStr">
        <is>
          <t>ISSUE-141</t>
        </is>
      </c>
      <c r="B141" s="2" t="inlineStr">
        <is>
          <t>FR-022 異常系定義の追加（入力 CSV 不存在・空ピーク時の挙動）</t>
        </is>
      </c>
      <c r="C141" s="2" t="inlineStr">
        <is>
          <t>FR-022 に異常系定義がない。FR-014・FR-004 等は「異常系」セクションを持つが FR-022 には存在しない。「merged_peak.csv が存在しない場合」「CSV が空（0件ピーク）の場合」の挙動が未定義。空ピークの場合は「ゼロ件 = 全充足」として正常終了してフェーズ4へ進んでよいかの設計判断も必要。</t>
        </is>
      </c>
      <c r="D141" s="2" t="inlineStr">
        <is>
          <t>設計</t>
        </is>
      </c>
      <c r="E141" s="4" t="inlineStr">
        <is>
          <t>中</t>
        </is>
      </c>
      <c r="F141" s="2" t="inlineStr">
        <is>
          <t>その他</t>
        </is>
      </c>
      <c r="G141" s="2" t="inlineStr"/>
      <c r="H141" s="2" t="inlineStr">
        <is>
          <t>2026-06-28</t>
        </is>
      </c>
      <c r="I141" s="2" t="inlineStr">
        <is>
          <t>SRS</t>
        </is>
      </c>
      <c r="J141" s="2" t="inlineStr"/>
      <c r="K141" s="2" t="inlineStr">
        <is>
          <t>解決済</t>
        </is>
      </c>
      <c r="L141" s="2" t="inlineStr"/>
      <c r="M141" s="2" t="inlineStr">
        <is>
          <t>FR-022 説明に「異常系」セクションを追加。「入力 CSV が存在しない場合はエラー終了（FR-023 に伝播）」「ピーク0件（空 CSV）の場合は「ゼロ」を返し正常終了（フェーズ4へ進む）」の方針を確定して記述する。</t>
        </is>
      </c>
      <c r="N141" s="2" t="inlineStr"/>
      <c r="O141" s="2" t="inlineStr">
        <is>
          <t>2026-06-28</t>
        </is>
      </c>
      <c r="P141" s="2" t="inlineStr">
        <is>
          <t>2026-06-29</t>
        </is>
      </c>
    </row>
    <row r="142" ht="40" customHeight="1">
      <c r="A142" s="2" t="inlineStr">
        <is>
          <t>ISSUE-142</t>
        </is>
      </c>
      <c r="B142" s="2" t="inlineStr">
        <is>
          <t>FR-023 の下位 FR エラー時のエラー伝播方針を SRS に明記</t>
        </is>
      </c>
      <c r="C142" s="2" t="inlineStr">
        <is>
          <t>FR-023 の説明に、下位 FR（FR-004・FR-014・FR-008・FR-018・FR-022 等）が異常終了した場合の挙動が記述されていない。シェルスクリプトとして即時終了（エラー伝播）するかどうかの方針が不明。スキップして継続する設計も考えられるが、フェイルファースト原則（lessons.md 参照）に照らせば即時終了が適切と推定される。</t>
        </is>
      </c>
      <c r="D142" s="2" t="inlineStr">
        <is>
          <t>設計</t>
        </is>
      </c>
      <c r="E142" s="4" t="inlineStr">
        <is>
          <t>中</t>
        </is>
      </c>
      <c r="F142" s="2" t="inlineStr">
        <is>
          <t>その他</t>
        </is>
      </c>
      <c r="G142" s="2" t="inlineStr"/>
      <c r="H142" s="2" t="inlineStr">
        <is>
          <t>2026-06-28</t>
        </is>
      </c>
      <c r="I142" s="2" t="inlineStr">
        <is>
          <t>SRS</t>
        </is>
      </c>
      <c r="J142" s="2" t="inlineStr"/>
      <c r="K142" s="2" t="inlineStr">
        <is>
          <t>解決済</t>
        </is>
      </c>
      <c r="L142" s="2" t="inlineStr"/>
      <c r="M142" s="2" t="inlineStr">
        <is>
          <t>方針を確定し（推奨: 即時終了・エラー伝播）、FR-023 説明のループ終了条件周辺に「呼び出した FR がエラー終了した場合は FR-023 も即時終了する」旨を追記する。</t>
        </is>
      </c>
      <c r="N142" s="2" t="inlineStr"/>
      <c r="O142" s="2" t="inlineStr">
        <is>
          <t>2026-06-28</t>
        </is>
      </c>
      <c r="P142" s="2" t="inlineStr">
        <is>
          <t>2026-06-29</t>
        </is>
      </c>
    </row>
    <row r="143" ht="40" customHeight="1">
      <c r="A143" s="2" t="inlineStr">
        <is>
          <t>ISSUE-143</t>
        </is>
      </c>
      <c r="B143" s="2" t="inlineStr">
        <is>
          <t>FR-020: NFR-010（描画応答性）スコープに公開用 HTML を含めるか確認・RTM 更新</t>
        </is>
      </c>
      <c r="C143" s="2" t="inlineStr">
        <is>
          <t>spec-panel FR-020 レビュー指摘③。NFR-010（描画応答性・連続操作の滑らかさ）は「本 NFR は HTML ビューア（FR-013）のマーカー描画に適用する」と FR-013 のみに限定されている。公開用 HTML（FR-020）も同規模（最大1万件）のマーカーを表示するビューアであり、60fps の描画応答性要件が同様に適用されるべきかどうかを確認する必要がある。RTM でも FR-020 → UR-014 のマッピングが欠落している。</t>
        </is>
      </c>
      <c r="D143" s="2" t="inlineStr">
        <is>
          <t>設計</t>
        </is>
      </c>
      <c r="E143" s="4" t="inlineStr">
        <is>
          <t>中</t>
        </is>
      </c>
      <c r="F143" s="2" t="inlineStr">
        <is>
          <t>その他</t>
        </is>
      </c>
      <c r="G143" s="2" t="inlineStr">
        <is>
          <t>Sonnet</t>
        </is>
      </c>
      <c r="H143" s="2" t="inlineStr">
        <is>
          <t>2026-06-28</t>
        </is>
      </c>
      <c r="I143" s="2" t="inlineStr">
        <is>
          <t>SRS</t>
        </is>
      </c>
      <c r="J143" s="2" t="inlineStr"/>
      <c r="K143" s="2" t="inlineStr">
        <is>
          <t>解決済</t>
        </is>
      </c>
      <c r="L143" s="2" t="inlineStr"/>
      <c r="M143" s="2" t="inlineStr">
        <is>
          <t>NFR-010 のスコープを FR-020 にも明示的に拡張する（「HTML ビューア（FR-013・FR-020）のマーカー描画に適用する」）か、FR-013 と同等の要件が FR-020 に引き継がれることを NFR-010 本文または ADR に明記するかを選択し、RTM の FR-020 行 UR-014 列に ✅ を追記する。</t>
        </is>
      </c>
      <c r="N143" s="2" t="inlineStr"/>
      <c r="O143" s="2" t="inlineStr">
        <is>
          <t>2026-06-28</t>
        </is>
      </c>
      <c r="P143" s="2" t="inlineStr">
        <is>
          <t>2026-06-29</t>
        </is>
      </c>
    </row>
    <row r="144" ht="40" customHeight="1">
      <c r="A144" s="2" t="inlineStr">
        <is>
          <t>ISSUE-144</t>
        </is>
      </c>
      <c r="B144" s="2" t="inlineStr">
        <is>
          <t>FR-017 生成1（60地域GeoJSON）への北方領土ポリゴン含有の扱いを明示</t>
        </is>
      </c>
      <c r="C144" s="2" t="inlineStr">
        <is>
          <t>FR-017 §生成1（60地域GeoJSON）を作成する際、北方領土6村（N03_007: 01695〜01700）のポリゴンを dissolve 対象に含めるか除外するかが未定義。生成3（北方領土除外タイルリスト）は同コードを抽出して別途処理するが、生成1の dissolve 処理で除外するか残すかが記述されていない。含めたままにすると FR-009 でのエリアコード付与対象に北方領土のポリゴン範囲が残るが、北方領土のピーク候補は FR-001 タイル取得スキップにより解析結果に流れ込まない設計のため実害はない。ただし設計意図が読み取れない状態であり、実装者が迷う可能性がある。</t>
        </is>
      </c>
      <c r="D144" s="2" t="inlineStr">
        <is>
          <t>設計</t>
        </is>
      </c>
      <c r="E144" s="4" t="inlineStr">
        <is>
          <t>中</t>
        </is>
      </c>
      <c r="F144" s="2" t="inlineStr">
        <is>
          <t>その他</t>
        </is>
      </c>
      <c r="G144" s="2" t="inlineStr">
        <is>
          <t>Sonnet</t>
        </is>
      </c>
      <c r="H144" s="2" t="inlineStr">
        <is>
          <t>2026-06-28</t>
        </is>
      </c>
      <c r="I144" s="2" t="inlineStr">
        <is>
          <t>SRS</t>
        </is>
      </c>
      <c r="J144" s="2" t="inlineStr"/>
      <c r="K144" s="2" t="inlineStr">
        <is>
          <t>解決済</t>
        </is>
      </c>
      <c r="L144" s="2" t="inlineStr"/>
      <c r="M144" s="2" t="inlineStr">
        <is>
          <t>「生成1では北方領土ポリゴンを dissolve 対象に含める（除外は生成3＋FR-001 で完結しているため重複除外は不要）」または「生成3と同一条件で生成1から除外する」どちらかを決定し、FR-017 §生成1 の説明文に明記する。</t>
        </is>
      </c>
      <c r="N144" s="2" t="inlineStr"/>
      <c r="O144" s="2" t="inlineStr">
        <is>
          <t>2026-06-28</t>
        </is>
      </c>
      <c r="P144" s="2" t="inlineStr">
        <is>
          <t>2026-06-29</t>
        </is>
      </c>
    </row>
    <row r="145" ht="40" customHeight="1">
      <c r="A145" s="2" t="inlineStr">
        <is>
          <t>ISSUE-145</t>
        </is>
      </c>
      <c r="B145" s="2" t="inlineStr">
        <is>
          <t>FR-017 生成1 dissolve の出力形状（MultiPolygon 可否）を明示</t>
        </is>
      </c>
      <c r="C145" s="2" t="inlineStr">
        <is>
          <t>FR-017 §生成1（行282）に「1地域1ポリゴンに集約」と記述されているが、沖縄・鹿児島等の離島は本島と隣接しないため dissolve の自然な結果は MultiPolygon になる。「1ポリゴン」が MultiPolygon 許容なのか厳密に単一 Polygon なのかが未定義。FR-009 での point-in-polygon 処理の実装時（GeoJSON ライブラリの扱い）に影響する。</t>
        </is>
      </c>
      <c r="D145" s="2" t="inlineStr">
        <is>
          <t>設計</t>
        </is>
      </c>
      <c r="E145" s="4" t="inlineStr">
        <is>
          <t>中</t>
        </is>
      </c>
      <c r="F145" s="2" t="inlineStr">
        <is>
          <t>その他</t>
        </is>
      </c>
      <c r="G145" s="2" t="inlineStr">
        <is>
          <t>Sonnet</t>
        </is>
      </c>
      <c r="H145" s="2" t="inlineStr">
        <is>
          <t>2026-06-28</t>
        </is>
      </c>
      <c r="I145" s="2" t="inlineStr">
        <is>
          <t>SRS</t>
        </is>
      </c>
      <c r="J145" s="2" t="inlineStr"/>
      <c r="K145" s="2" t="inlineStr">
        <is>
          <t>解決済</t>
        </is>
      </c>
      <c r="L145" s="2" t="inlineStr"/>
      <c r="M145" s="2" t="inlineStr">
        <is>
          <t>「1フィーチャ（MultiPolygon 許容）に集約」として SRS の記述「1地域1ポリゴン」を「1地域1フィーチャ（MultiPolygon 許容）」に更新することを推奨する。離島を含む都府県は必然的に MultiPolygon になるため単一 Polygon への厳密化は現実的でない。</t>
        </is>
      </c>
      <c r="N145" s="2" t="inlineStr"/>
      <c r="O145" s="2" t="inlineStr">
        <is>
          <t>2026-06-28</t>
        </is>
      </c>
      <c r="P145" s="2" t="inlineStr">
        <is>
          <t>2026-06-29</t>
        </is>
      </c>
    </row>
    <row r="146" ht="40" customHeight="1">
      <c r="A146" s="2" t="inlineStr">
        <is>
          <t>ISSUE-146</t>
        </is>
      </c>
      <c r="B146" s="2" t="inlineStr">
        <is>
          <t>FR-017 再実行条件（N03 ZIP 差し替え時）の SRS 記載 vs HLD 委任を判断</t>
        </is>
      </c>
      <c r="C146" s="2" t="inlineStr">
        <is>
          <t>FR-017 §実行タイミング（行276）は「初回のみ。出力ファイル群が未生成の場合に起動する」と定義しているが、N03 ZIP を新年版に差し替えた場合の再実行手順が未定義。「出力ファイルを削除してから再実行する」という操作手順を SRS 段階で明記するか、HLD に完全委任するかを決める必要がある。</t>
        </is>
      </c>
      <c r="D146" s="2" t="inlineStr">
        <is>
          <t>設計</t>
        </is>
      </c>
      <c r="E146" s="5" t="inlineStr">
        <is>
          <t>低</t>
        </is>
      </c>
      <c r="F146" s="2" t="inlineStr">
        <is>
          <t>その他</t>
        </is>
      </c>
      <c r="G146" s="2" t="inlineStr">
        <is>
          <t>Sonnet</t>
        </is>
      </c>
      <c r="H146" s="2" t="inlineStr">
        <is>
          <t>2026-06-28</t>
        </is>
      </c>
      <c r="I146" s="2" t="inlineStr">
        <is>
          <t>SRS</t>
        </is>
      </c>
      <c r="J146" s="2" t="inlineStr"/>
      <c r="K146" s="2" t="inlineStr">
        <is>
          <t>解決済</t>
        </is>
      </c>
      <c r="L146" s="2" t="inlineStr"/>
      <c r="M146" s="2" t="inlineStr">
        <is>
          <t>SRS に「出力ファイルを手動削除することで再実行できる（詳細は HLD 参照）」程度の一文を追加する方向を推奨する。完全 HLD 委任とする場合は FR-017 §実行タイミングに『再実行はHLD参照』の一文を追記する。</t>
        </is>
      </c>
      <c r="N146" s="2" t="inlineStr"/>
      <c r="O146" s="2" t="inlineStr">
        <is>
          <t>2026-06-28</t>
        </is>
      </c>
      <c r="P146" s="2" t="inlineStr">
        <is>
          <t>2026-06-29</t>
        </is>
      </c>
    </row>
    <row r="147" ht="40" customHeight="1">
      <c r="A147" s="2" t="inlineStr">
        <is>
          <t>ISSUE-147</t>
        </is>
      </c>
      <c r="B147" s="2" t="inlineStr">
        <is>
          <t>ADR-URD-005 Consequences が旧方式（FR-003 NODATA 扱い）のまま残存し ADR-SRS-018 と矛盾</t>
        </is>
      </c>
      <c r="C147" s="2" t="inlineStr">
        <is>
          <t>ADR-URD-005 の §Consequences（行96–107）は「北方領土タイルは FR-001 で引き続き取得し FR-003 で NODATA 扱い」という旧方式の記述が残存している。しかし ADR-SRS-018（2026-06-07 採用）では FR-001 が HTTP リクエストを発行しない新方式に変更されており、ADR-URD-005 Decision 本文（行40–54）もこの新方式を記述している。Consequences のみが旧方式のまま放置されており、ADR 内で矛盾が生じている。</t>
        </is>
      </c>
      <c r="D147" s="2" t="inlineStr">
        <is>
          <t>改善</t>
        </is>
      </c>
      <c r="E147" s="3" t="inlineStr">
        <is>
          <t>高</t>
        </is>
      </c>
      <c r="F147" s="2" t="inlineStr">
        <is>
          <t>その他</t>
        </is>
      </c>
      <c r="G147" s="2" t="inlineStr"/>
      <c r="H147" s="2" t="inlineStr">
        <is>
          <t>2026-06-28</t>
        </is>
      </c>
      <c r="I147" s="2" t="inlineStr">
        <is>
          <t>SRS</t>
        </is>
      </c>
      <c r="J147" s="2" t="inlineStr"/>
      <c r="K147" s="2" t="inlineStr">
        <is>
          <t>解決済</t>
        </is>
      </c>
      <c r="L147" s="2" t="inlineStr"/>
      <c r="M147" s="2" t="inlineStr">
        <is>
          <t>ADR-URD-005 §Consequences から FR-003 への言及（行101）と「北方領土タイルは FR-001 で引き続き取得される」記述（行102–104）を削除し、「FR-001 が HTTP リクエストを発行しないことで除外が完結する」旨に書き換える。</t>
        </is>
      </c>
      <c r="N147" s="2" t="inlineStr"/>
      <c r="O147" s="2" t="inlineStr">
        <is>
          <t>2026-06-28</t>
        </is>
      </c>
      <c r="P147" s="2" t="inlineStr">
        <is>
          <t>2026-06-29</t>
        </is>
      </c>
    </row>
    <row r="148" ht="40" customHeight="1">
      <c r="A148" s="2" t="inlineStr">
        <is>
          <t>ISSUE-148</t>
        </is>
      </c>
      <c r="B148" s="2" t="inlineStr">
        <is>
          <t>FR-001 で DEM10b（Z14）取得時の北方領土除外方法が仕様に未記述</t>
        </is>
      </c>
      <c r="C148" s="2" t="inlineStr">
        <is>
          <t>北方領土除外タイルリストは Z15 形式（x y 整数ペア、§7.2.2.1）と FR-001 行329 に明記されているが、DEM10b は Z14 で配信される（§6.2.10）。Z14 タイルを Z15 リストからどう除外するか（floor(x/2), floor(y/2) による変換で Z14 タイルを除外するか、別途 Z14 リストを生成するか、そもそも北方領土に DEM10b タイルが存在しないかなど）が FR-001 にも §7.2.2.1 にも記述なく、実装時にバグを招く可能性がある。ADR-URD-005 の Decision（行50）も「ズームレベル 15 の x/y 整数ペア」のみ言及し Z14 への言及がない。</t>
        </is>
      </c>
      <c r="D148" s="2" t="inlineStr">
        <is>
          <t>設計</t>
        </is>
      </c>
      <c r="E148" s="3" t="inlineStr">
        <is>
          <t>高</t>
        </is>
      </c>
      <c r="F148" s="2" t="inlineStr">
        <is>
          <t>prefetch</t>
        </is>
      </c>
      <c r="G148" s="2" t="inlineStr"/>
      <c r="H148" s="2" t="inlineStr">
        <is>
          <t>2026-06-28</t>
        </is>
      </c>
      <c r="I148" s="2" t="inlineStr">
        <is>
          <t>SRS</t>
        </is>
      </c>
      <c r="J148" s="2" t="inlineStr"/>
      <c r="K148" s="2" t="inlineStr">
        <is>
          <t>解決済</t>
        </is>
      </c>
      <c r="L148" s="2" t="inlineStr"/>
      <c r="M148" s="2" t="inlineStr">
        <is>
          <t>ADR-URD-005 あるいは新規 ADR-SRS-XXX で Z14 タイル除外方法を設計決定し、FR-001 説明および §7.2.2.1 に明記する。設計の選択肢: (a) Z15 リストを floor(x/2),floor(y/2) で変換して Z14 タイルも除外 / (b) FR-017 が Z14 リストを別途生成 / (c) 地理院は北方領土の DEM10b タイルを提供しないため取得時に HTTP 404 になるだけで除外不要（実データ確認が先決）。</t>
        </is>
      </c>
      <c r="N148" s="2" t="inlineStr"/>
      <c r="O148" s="2" t="inlineStr">
        <is>
          <t>2026-06-28</t>
        </is>
      </c>
      <c r="P148" s="2" t="inlineStr">
        <is>
          <t>2026-06-29</t>
        </is>
      </c>
    </row>
    <row r="149" ht="40" customHeight="1">
      <c r="A149" s="2" t="inlineStr">
        <is>
          <t>ISSUE-149</t>
        </is>
      </c>
      <c r="B149" s="2" t="inlineStr">
        <is>
          <t>FR-001 リトライ（HTTP 429/503）上限超過後の挙動が SRS 未定義</t>
        </is>
      </c>
      <c r="C149" s="2" t="inlineStr">
        <is>
          <t>FR-001 説明 行333 に「HTTP 429/503 が返された場合は再試行する（リトライ戦略の詳細は HLD 参照）」とあるが、リトライ上限超過後の挙動（エラー終了して全体を止めるか、当該タイルをスキップして継続するか）が SRS レベルの方針として未定義。他の異常系（北方領土リスト未存在→エラー終了、HTTP 404→キャッシュ削除）は SRS で明確化されているが、リトライ超過のみ HLD 丸投げとなっている。</t>
        </is>
      </c>
      <c r="D149" s="2" t="inlineStr">
        <is>
          <t>設計</t>
        </is>
      </c>
      <c r="E149" s="4" t="inlineStr">
        <is>
          <t>中</t>
        </is>
      </c>
      <c r="F149" s="2" t="inlineStr">
        <is>
          <t>prefetch</t>
        </is>
      </c>
      <c r="G149" s="2" t="inlineStr"/>
      <c r="H149" s="2" t="inlineStr">
        <is>
          <t>2026-06-28</t>
        </is>
      </c>
      <c r="I149" s="2" t="inlineStr">
        <is>
          <t>SRS</t>
        </is>
      </c>
      <c r="J149" s="2" t="inlineStr"/>
      <c r="K149" s="2" t="inlineStr">
        <is>
          <t>解決済</t>
        </is>
      </c>
      <c r="L149" s="2" t="inlineStr"/>
      <c r="M149" s="2" t="inlineStr">
        <is>
          <t>SRS の FR-001 説明にリトライ上限超過後の基本方針（エラー終了 or スキップ継続）を明記し、上限回数・バックオフアルゴリズム等の詳細は引き続き HLD に委任する。ユーザーへの影響（全タイル取得失敗か部分取得かで後段解析品質が大きく変わる）を考慮して設計方針を決定すること。</t>
        </is>
      </c>
      <c r="N149" s="2" t="inlineStr"/>
      <c r="O149" s="2" t="inlineStr">
        <is>
          <t>2026-06-28</t>
        </is>
      </c>
      <c r="P149" s="2" t="inlineStr">
        <is>
          <t>2026-06-29</t>
        </is>
      </c>
    </row>
    <row r="150" ht="40" customHeight="1">
      <c r="A150" s="2" t="inlineStr">
        <is>
          <t>ISSUE-150</t>
        </is>
      </c>
      <c r="B150" s="2" t="inlineStr">
        <is>
          <t>FR-022 異常系: key_col_resolved カラム不在時の動作が未定義</t>
        </is>
      </c>
      <c r="C150" s="2" t="inlineStr">
        <is>
          <t>spec-panel レビュー（2026-06-28）で検出。FR-022 の異常系には「ファイル不存在」「読み取りエラー」「空CSV」の3ケースを定義しているが、CSVが存在し読み取れても key_col_resolved カラムが欠落（スキーマ不整合）している場合の動作が規定されていない。実装者が判断を委ねられるリスクがある。</t>
        </is>
      </c>
      <c r="D150" s="2" t="inlineStr">
        <is>
          <t>改善</t>
        </is>
      </c>
      <c r="E150" s="4" t="inlineStr">
        <is>
          <t>中</t>
        </is>
      </c>
      <c r="F150" s="2" t="inlineStr">
        <is>
          <t>その他</t>
        </is>
      </c>
      <c r="G150" s="2" t="inlineStr"/>
      <c r="H150" s="2" t="inlineStr">
        <is>
          <t>2026-06-28</t>
        </is>
      </c>
      <c r="I150" s="2" t="inlineStr">
        <is>
          <t>SRS</t>
        </is>
      </c>
      <c r="J150" s="2" t="inlineStr"/>
      <c r="K150" s="2" t="inlineStr">
        <is>
          <t>解決済</t>
        </is>
      </c>
      <c r="L150" s="2" t="inlineStr"/>
      <c r="M150" s="2" t="inlineStr">
        <is>
          <t>「読み取りエラー」の定義を「CSVスキーマ不整合（key_col_resolved カラム不在等）を含む」に拡張してエラー終了とする案、または別ケースとして追記する案を比較し、SRS FR-022 異常系に確定記述を追加する。対象: docs/20_SRS.md line 844–846</t>
        </is>
      </c>
      <c r="N150" s="2" t="inlineStr"/>
      <c r="O150" s="2" t="inlineStr">
        <is>
          <t>2026-07-01</t>
        </is>
      </c>
      <c r="P150" s="2" t="inlineStr">
        <is>
          <t>2026-07-01</t>
        </is>
      </c>
    </row>
    <row r="151" ht="40" customHeight="1">
      <c r="A151" s="2" t="inlineStr">
        <is>
          <t>ISSUE-151</t>
        </is>
      </c>
      <c r="B151" s="2" t="inlineStr">
        <is>
          <t>FR-019: matchedのdelete_zoneビューア表示可否の設計決定</t>
        </is>
      </c>
      <c r="C151" s="2" t="inlineStr">
        <is>
          <t>FR-009フィーチャ構成テーブル（line 962）でmatchedにPolygon（delete判定ゾーン）を追記したが、FR-019 line 1152が「delete判定ゾーンポリゴン（new / dominant）を独立したトグルレイヤーとして追加」のままで、matchedのdelete_zoneをビューアで表示するか否かが未定義。FR-019の表示ロジック（AZとの重なり除外・デフォルトON等）がmatchedにも適用されるかどうかも不明確。</t>
        </is>
      </c>
      <c r="D151" s="2" t="inlineStr">
        <is>
          <t>設計</t>
        </is>
      </c>
      <c r="E151" s="3" t="inlineStr">
        <is>
          <t>高</t>
        </is>
      </c>
      <c r="F151" s="2" t="inlineStr">
        <is>
          <t>その他</t>
        </is>
      </c>
      <c r="G151" s="2" t="inlineStr"/>
      <c r="H151" s="2" t="inlineStr">
        <is>
          <t>2026-06-28</t>
        </is>
      </c>
      <c r="I151" s="2" t="inlineStr">
        <is>
          <t>SRS</t>
        </is>
      </c>
      <c r="J151" s="2" t="inlineStr"/>
      <c r="K151" s="2" t="inlineStr">
        <is>
          <t>解決済</t>
        </is>
      </c>
      <c r="L151" s="2" t="inlineStr"/>
      <c r="M151" s="2" t="inlineStr">
        <is>
          <t>① matchedのdelete_zoneをビューアのトグルレイヤーで表示するか否かを設計決定する。② 表示する場合はFR-019 line 1152の「new / dominant」制限を削除してSRS修正。③ 表示しない場合は「matched を除く」旨を明示し、SRS FR-009 line 1028の「new / dominant のみ」と整合させる。いずれの場合もFR-009 line 1028・FR-019 line 1152の両方を同時修正する。</t>
        </is>
      </c>
      <c r="N151" s="2" t="inlineStr"/>
      <c r="O151" s="2" t="inlineStr">
        <is>
          <t>2026-06-28</t>
        </is>
      </c>
      <c r="P151" s="2" t="inlineStr">
        <is>
          <t>2026-06-29</t>
        </is>
      </c>
    </row>
    <row r="152" ht="40" customHeight="1">
      <c r="A152" s="2" t="inlineStr">
        <is>
          <t>ISSUE-152</t>
        </is>
      </c>
      <c r="B152" s="2" t="inlineStr">
        <is>
          <t>SRS: 海面確定規則（層1）でのcol_lat/col_lon=0.0 sentinel 定義を明記する</t>
        </is>
      </c>
      <c r="C152" s="2" t="inlineStr">
        <is>
          <t>FR-019 line 1185「陸地最高峰・島嶼部最高峰はcol_lat/col_lon=0.0 sentinelのためkey_col feature が除外」と記述しているが、FR-006 line 651（海面確定規則）はその場合のcol_lat/col_lonの値を明記していない。per-mesh CSVカラム定義（line 689）はkey_col_resolved=falseの場合のみ0.0と定義しており、key_col_resolved=trueかつKey Col=海面0m（陸地最高峰リスト・海面確定規則）の場合のcol_lat/col_lonが未定義。またFR-018 line 815が「陸地最高峰は0.0のため除外」のみで島嶼部最高峰（海面確定規則）への言及がなく、FR-019 line 1185と不整合。</t>
        </is>
      </c>
      <c r="D152" s="2" t="inlineStr">
        <is>
          <t>改善</t>
        </is>
      </c>
      <c r="E152" s="4" t="inlineStr">
        <is>
          <t>中</t>
        </is>
      </c>
      <c r="F152" s="2" t="inlineStr">
        <is>
          <t>その他</t>
        </is>
      </c>
      <c r="G152" s="2" t="inlineStr"/>
      <c r="H152" s="2" t="inlineStr">
        <is>
          <t>2026-06-28</t>
        </is>
      </c>
      <c r="I152" s="2" t="inlineStr">
        <is>
          <t>SRS</t>
        </is>
      </c>
      <c r="J152" s="2" t="inlineStr"/>
      <c r="K152" s="2" t="inlineStr">
        <is>
          <t>解決済</t>
        </is>
      </c>
      <c r="L152" s="2" t="inlineStr"/>
      <c r="M152" s="2" t="inlineStr">
        <is>
          <t>FR-006 line 651（海面確定規則）に「col_lat/col_lon=0.0 sentinelを設定する」旨を追記。per-mesh CSV カラム定義（line 689）をkey_col_resolved=falseの場合に加えて「海面確定（key_col_resolved=true + Key Col=0m）の場合もcol_lat=col_lon=0.0」と拡張。FR-018 line 815を「陸地最高峰・島嶼部最高峰（海面確定規則）は」に拡張。ADR-SRS-019の層1説明にもcol座標値を追記する。</t>
        </is>
      </c>
      <c r="N152" s="2" t="inlineStr"/>
      <c r="O152" s="2" t="inlineStr">
        <is>
          <t>2026-06-28</t>
        </is>
      </c>
      <c r="P152" s="2" t="inlineStr">
        <is>
          <t>2026-06-29</t>
        </is>
      </c>
    </row>
    <row r="153" ht="40" customHeight="1">
      <c r="A153" s="2" t="inlineStr">
        <is>
          <t>ISSUE-153</t>
        </is>
      </c>
      <c r="B153" s="2" t="inlineStr">
        <is>
          <t>FR-019: popup表示文言「未定義（陸地最高峰）」の見直し</t>
        </is>
      </c>
      <c r="C153" s="2" t="inlineStr">
        <is>
          <t>FR-019 line 1185でkey_col featureがない場合の表示文言を「未定義（陸地最高峰）」としているが、「陸地最高峰と島嶼部最高峰はビューア上で区別しない」という方針と齟齬がある。宮之浦岳（屋久島最高峰・SOTA申請対象）など地理的に陸地最高峰でない山にも「陸地最高峰」と表示される。前セッションで「UI上は陸地最高峰に統一」と決定したが、その理由がSRS本文に明記されておらず、担当者が混乱する可能性がある。</t>
        </is>
      </c>
      <c r="D153" s="2" t="inlineStr">
        <is>
          <t>改善</t>
        </is>
      </c>
      <c r="E153" s="4" t="inlineStr">
        <is>
          <t>中</t>
        </is>
      </c>
      <c r="F153" s="2" t="inlineStr">
        <is>
          <t>その他</t>
        </is>
      </c>
      <c r="G153" s="2" t="inlineStr"/>
      <c r="H153" s="2" t="inlineStr">
        <is>
          <t>2026-06-28</t>
        </is>
      </c>
      <c r="I153" s="2" t="inlineStr">
        <is>
          <t>SRS</t>
        </is>
      </c>
      <c r="J153" s="2" t="inlineStr"/>
      <c r="K153" s="2" t="inlineStr">
        <is>
          <t>解決済</t>
        </is>
      </c>
      <c r="L153" s="2" t="inlineStr"/>
      <c r="M153" s="2" t="inlineStr">
        <is>
          <t>① 表示文言を「未定義（Keyコルなし）」等の地理的事実に中立な文言に変更する、または ② 現文言「未定義（陸地最高峰）」を維持し「陸地最高峰・島嶼部最高峰を区別せず統一ラベルとして使用」旨を括弧書きで明記する。どちらを選ぶかをユーザーと合意してSRS line 1185を更新する。</t>
        </is>
      </c>
      <c r="N153" s="2" t="inlineStr"/>
      <c r="O153" s="2" t="inlineStr">
        <is>
          <t>2026-06-28</t>
        </is>
      </c>
      <c r="P153" s="2" t="inlineStr">
        <is>
          <t>2026-06-29</t>
        </is>
      </c>
    </row>
    <row r="154" ht="40" customHeight="1">
      <c r="A154" s="2" t="inlineStr">
        <is>
          <t>ISSUE-154</t>
        </is>
      </c>
      <c r="B154" s="2" t="inlineStr">
        <is>
          <t>SRS FR-009: matchedピークが他サミットの主ピークになるシナリオを明示する</t>
        </is>
      </c>
      <c r="C154" s="2" t="inlineStr">
        <is>
          <t>FR-016が全ピーク（match_status問わず）にdelete_zoneを生成し、FR-009の主ピーク特定（line 905-910）も全ピークのdelete_zoneを対象にする。matchedピークのdelete_zone内にAZ外のSOTAサミット（delete候補）が入った場合、matchedピークが主ピークになり得るが、この場合のpeak.match_status（matchedのまま？）・フィーチャ構成（matchedにdeleteサミットのPointを追加するか）が未定義。line 962のmatchedフィーチャ構成には削除候補サミットの複数Point/LineStringについての記述がない。</t>
        </is>
      </c>
      <c r="D154" s="2" t="inlineStr">
        <is>
          <t>設計</t>
        </is>
      </c>
      <c r="E154" s="4" t="inlineStr">
        <is>
          <t>中</t>
        </is>
      </c>
      <c r="F154" s="2" t="inlineStr">
        <is>
          <t>その他</t>
        </is>
      </c>
      <c r="G154" s="2" t="inlineStr"/>
      <c r="H154" s="2" t="inlineStr">
        <is>
          <t>2026-06-28</t>
        </is>
      </c>
      <c r="I154" s="2" t="inlineStr">
        <is>
          <t>SRS</t>
        </is>
      </c>
      <c r="J154" s="2" t="inlineStr"/>
      <c r="K154" s="2" t="inlineStr">
        <is>
          <t>解決済</t>
        </is>
      </c>
      <c r="L154" s="2" t="inlineStr"/>
      <c r="M154" s="2" t="inlineStr">
        <is>
          <t>以下のいずれかを決定してFR-009 line 905-910・line 962に反映する。① matchedピークは主ピーク候補から除外する（「AZ内にSOTAサミットがいるピーク（matched）はdelete_zone内に別のサミットがいても主ピークにならない」制約を追加）。② matchedかつ主ピークになるケースを許容し、フィーチャ構成にdeleteサミットPoint・LineStringを追加する記述を加える。</t>
        </is>
      </c>
      <c r="N154" s="2" t="inlineStr"/>
      <c r="O154" s="2" t="inlineStr">
        <is>
          <t>2026-06-28</t>
        </is>
      </c>
      <c r="P154" s="2" t="inlineStr">
        <is>
          <t>2026-06-29</t>
        </is>
      </c>
    </row>
    <row r="155" ht="40" customHeight="1">
      <c r="A155" s="2" t="inlineStr">
        <is>
          <t>ISSUE-155</t>
        </is>
      </c>
      <c r="B155" s="2" t="inlineStr">
        <is>
          <t>ADR-042 シナリオD で削除申請データ取りこぼし問題の再決定（ADR-043 + SRS 反映）</t>
        </is>
      </c>
      <c r="C155" s="2" t="inlineStr">
        <is>
          <t>ADR-SRS-042（matched ピークを delete サミット主ピーク候補から除外）はシナリオD（AZ内1サミット＋delete_zone内1サミットが同一ピークに存在）で削除申請データを取りこぼす。九州・四国解析で実際に1件発生済み。matched ピークも主ピーク候補に含め、dominant_peak_code に matched ピークの既存 SOTA コードを付与して削除申請を自動生成する軽量修正に方針変更する。</t>
        </is>
      </c>
      <c r="D155" s="2" t="inlineStr">
        <is>
          <t>設計</t>
        </is>
      </c>
      <c r="E155" s="3" t="inlineStr">
        <is>
          <t>高</t>
        </is>
      </c>
      <c r="F155" s="2" t="inlineStr">
        <is>
          <t>その他</t>
        </is>
      </c>
      <c r="G155" s="2" t="inlineStr">
        <is>
          <t>Sonnet</t>
        </is>
      </c>
      <c r="H155" s="2" t="inlineStr">
        <is>
          <t>2026-06-29</t>
        </is>
      </c>
      <c r="I155" s="2" t="inlineStr">
        <is>
          <t>SRS</t>
        </is>
      </c>
      <c r="J155" s="2" t="inlineStr"/>
      <c r="K155" s="2" t="inlineStr">
        <is>
          <t>解決済</t>
        </is>
      </c>
      <c r="L155" s="2" t="inlineStr"/>
      <c r="M155" s="2" t="inlineStr">
        <is>
          <t>新規 ADR-SRS-043 で ADR-042 を supersede。FR-009 主ピーク特定ロジックの matched 除外を撤回し、matched フィーチャ構成に従属 delete サミット Point/LineString を追加定義する。</t>
        </is>
      </c>
      <c r="N155" s="2" t="inlineStr"/>
      <c r="O155" s="2" t="inlineStr">
        <is>
          <t>2026-06-29</t>
        </is>
      </c>
      <c r="P155" s="2" t="inlineStr">
        <is>
          <t>2026-06-29</t>
        </is>
      </c>
    </row>
    <row r="156" ht="40" customHeight="1">
      <c r="A156" s="2" t="inlineStr">
        <is>
          <t>ISSUE-156</t>
        </is>
      </c>
      <c r="B156" s="2" t="inlineStr">
        <is>
          <t>申請カテゴリをプロパティ化し FR-009 フィーチャ構成表をサミット中心5分類へ再編</t>
        </is>
      </c>
      <c r="C156" s="2" t="inlineStr">
        <is>
          <t>FR-009 の merged_summit.geojson フィーチャ構成表が peak.match_status 軸で書かれており、サミット中心の申請カテゴリ（追加/変更あり/変更なし/削除/要確認）が直読できない。category プロパティを GeoJSON・XLSX・ZIP 全成果物に統一して持たせ、消費側の実行時導出を廃止する。ADR-SRS-035 を supersede する ADR-SRS-044 を新規作成し、FR-009/011/012/013/019/020/021・GLOSSARY を改訂する。</t>
        </is>
      </c>
      <c r="D156" s="2" t="inlineStr">
        <is>
          <t>設計</t>
        </is>
      </c>
      <c r="E156" s="4" t="inlineStr">
        <is>
          <t>中</t>
        </is>
      </c>
      <c r="F156" s="2" t="inlineStr"/>
      <c r="G156" s="2" t="inlineStr">
        <is>
          <t>Sonnet</t>
        </is>
      </c>
      <c r="H156" s="2" t="inlineStr">
        <is>
          <t>2026-06-29</t>
        </is>
      </c>
      <c r="I156" s="2" t="inlineStr">
        <is>
          <t>SRS</t>
        </is>
      </c>
      <c r="J156" s="2" t="inlineStr"/>
      <c r="K156" s="2" t="inlineStr">
        <is>
          <t>解決済</t>
        </is>
      </c>
      <c r="L156" s="2" t="inlineStr"/>
      <c r="M156" s="2" t="inlineStr"/>
      <c r="N156" s="2" t="inlineStr"/>
      <c r="O156" s="2" t="inlineStr">
        <is>
          <t>2026-06-29</t>
        </is>
      </c>
      <c r="P156" s="2" t="inlineStr">
        <is>
          <t>2026-06-29</t>
        </is>
      </c>
    </row>
    <row r="157" ht="40" customHeight="1">
      <c r="A157" s="2" t="inlineStr">
        <is>
          <t>ISSUE-157</t>
        </is>
      </c>
      <c r="B157" s="2" t="inlineStr">
        <is>
          <t>FR-009: コル（key_col）プロパティ定義に municipality を追加</t>
        </is>
      </c>
      <c r="C157" s="2" t="inlineStr">
        <is>
          <t>merged_summit.geojson の Point フィーチャのうち、ピーク・サミットには municipality が付与されるが、コル（key_col）の properties 定義から漏れている。コル自身の座標で point-in-polygon 判定して municipality を付与する仕様に改訂する。</t>
        </is>
      </c>
      <c r="D157" s="2" t="inlineStr">
        <is>
          <t>改善</t>
        </is>
      </c>
      <c r="E157" s="4" t="inlineStr">
        <is>
          <t>中</t>
        </is>
      </c>
      <c r="F157" s="2" t="inlineStr">
        <is>
          <t>GeoJSON出力</t>
        </is>
      </c>
      <c r="G157" s="2" t="inlineStr">
        <is>
          <t>Sonnet</t>
        </is>
      </c>
      <c r="H157" s="2" t="inlineStr">
        <is>
          <t>2026-06-29</t>
        </is>
      </c>
      <c r="I157" s="2" t="inlineStr">
        <is>
          <t>SRS</t>
        </is>
      </c>
      <c r="J157" s="2" t="inlineStr"/>
      <c r="K157" s="2" t="inlineStr">
        <is>
          <t>解決済</t>
        </is>
      </c>
      <c r="L157" s="2" t="inlineStr"/>
      <c r="M157" s="2" t="inlineStr"/>
      <c r="N157" s="2" t="inlineStr"/>
      <c r="O157" s="2" t="inlineStr">
        <is>
          <t>2026-06-29</t>
        </is>
      </c>
      <c r="P157" s="2" t="inlineStr">
        <is>
          <t>2026-06-29</t>
        </is>
      </c>
    </row>
    <row r="158" ht="40" customHeight="1">
      <c r="A158" s="2" t="inlineStr">
        <is>
          <t>ISSUE-158</t>
        </is>
      </c>
      <c r="B158" s="2" t="inlineStr">
        <is>
          <t>FR-009/FR-012 サミット一覧 XLSX の行集約生成モデルが SRS 未定義</t>
        </is>
      </c>
      <c r="C158" s="2" t="inlineStr">
        <is>
          <t>merged_summit.geojson は複数フィーチャ（ピーク Point／コル Point／AZ Polygon／既存サミット Point／LineString）を持つ。FR-009 の merged_summit.xlsx（サミット一覧（突合後））と FR-012 の merged_summit_revised.xlsx（申請内容反映版）はこれらを 1 行（＝1 ピーククラスタ想定）に集約してカラム化するが、(a) 行の単位（集約単位か Point 毎か）、(b) 結合キー（summit_code 等）、(c) 各カラムの取得元フィーチャ（peak_*/col_*/sota_* ＝各 Point geometry、area_complete ＝ AZ Polygon properties、dominant の sota_* ＝ dominant_peak_code 経由）が SRS 未定義。FR-012 概要は「Point フィーチャのみが行に変換される」（SRS 1298行）としか書かず集約モデルが欠落している。FR-012 は「FR-009 と同じ作り方＋ユーザー編集反映」なので、FR-009 側の行集約モデルが決まれば FR-012 は従属的に決まる。</t>
        </is>
      </c>
      <c r="D158" s="2" t="inlineStr">
        <is>
          <t>設計</t>
        </is>
      </c>
      <c r="E158" s="3" t="inlineStr">
        <is>
          <t>高</t>
        </is>
      </c>
      <c r="F158" s="2" t="inlineStr">
        <is>
          <t>その他</t>
        </is>
      </c>
      <c r="G158" s="2" t="inlineStr"/>
      <c r="H158" s="2" t="inlineStr">
        <is>
          <t>2026-06-29</t>
        </is>
      </c>
      <c r="I158" s="2" t="inlineStr">
        <is>
          <t>SRS</t>
        </is>
      </c>
      <c r="J158" s="2" t="inlineStr"/>
      <c r="K158" s="2" t="inlineStr">
        <is>
          <t>解決済</t>
        </is>
      </c>
      <c r="L158" s="2" t="inlineStr"/>
      <c r="M158" s="2" t="inlineStr">
        <is>
          <t>FR-009 を行集約モデルの正本として XLSX 行生成モデルを定義し、FR-012 はそれを参照する形で記述する。必要なら ADR 化（ADR-SRS-041「geojson スキーマ拡張で全カラム生成可能」の前提を補完）。</t>
        </is>
      </c>
      <c r="N158" s="2" t="inlineStr"/>
      <c r="O158" s="2" t="inlineStr">
        <is>
          <t>2026-06-29</t>
        </is>
      </c>
      <c r="P158" s="2" t="inlineStr">
        <is>
          <t>2026-06-29</t>
        </is>
      </c>
    </row>
    <row r="159" ht="40" customHeight="1">
      <c r="A159" s="2" t="inlineStr">
        <is>
          <t>ISSUE-159</t>
        </is>
      </c>
      <c r="B159" s="2" t="inlineStr">
        <is>
          <t>FR-009 ZIP 分割(§6.2.9)の category 体系追従と review カテゴリ欠落</t>
        </is>
      </c>
      <c r="C159" s="2" t="inlineStr">
        <is>
          <t>FR-009 が category(add/band_change/no_change/delete/review の5分類・ADR-SRS-044)を正本付与する一方、§6.2.9 ZIP 分割は旧 match_status 命名(new/dominant/changed/unchanged)のまま。GLOSSARY L162「ZIP分割に category 使用」と矛盾し、review 用 geojson も欠落。category 参照元↔定義元の不完全性。ZIP命名のcategory追従要否・review同梱可否を協議し、§6.2.9/FR-021 と FR-009 を同期する。</t>
        </is>
      </c>
      <c r="D159" s="2" t="inlineStr">
        <is>
          <t>設計</t>
        </is>
      </c>
      <c r="E159" s="4" t="inlineStr">
        <is>
          <t>中</t>
        </is>
      </c>
      <c r="F159" s="2" t="inlineStr"/>
      <c r="G159" s="2" t="inlineStr">
        <is>
          <t>Opus</t>
        </is>
      </c>
      <c r="H159" s="2" t="inlineStr">
        <is>
          <t>2026-06-29</t>
        </is>
      </c>
      <c r="I159" s="2" t="inlineStr">
        <is>
          <t>SRS</t>
        </is>
      </c>
      <c r="J159" s="2" t="inlineStr"/>
      <c r="K159" s="2" t="inlineStr">
        <is>
          <t>解決済</t>
        </is>
      </c>
      <c r="L159" s="2" t="inlineStr"/>
      <c r="M159" s="2" t="inlineStr"/>
      <c r="N159" s="2" t="inlineStr">
        <is>
          <t>協議完了・SRS反映は次セッション。ADR-SRS-044 で既決（ZIP は add/band_change/no_change/delete/review の5ファイル・delete独立・review同梱。状態=採用未実装）の §6.2.9 追従漏れと判明。ファイル名は category 値に厳密準拠で合意（band_change/no_change を使う。ADR表記の changed/unchanged は旧名残存）。次セッション作業: ①§6.2.9 同梱ファイル一覧を5ファイルに修正 ②ADR-SRS-043 の『delete を dominant.geojson に同梱』記述も ADR-SRS-044（delete独立）に追従 ③FR-021本文のZIP分割記述の追従確認 ④旧ファイル名 new/dominant/changed/unchanged.geojson の全残存を grep 確認。</t>
        </is>
      </c>
      <c r="O159" s="2" t="inlineStr">
        <is>
          <t>2026-06-29</t>
        </is>
      </c>
      <c r="P159" s="2" t="inlineStr">
        <is>
          <t>2026-06-29</t>
        </is>
      </c>
    </row>
    <row r="160" ht="40" customHeight="1">
      <c r="A160" s="2" t="inlineStr">
        <is>
          <t>ISSUE-160</t>
        </is>
      </c>
      <c r="B160" s="2" t="inlineStr">
        <is>
          <t>FR-009 仮サミットコード採番の prominence=null ソート挙動が未定義</t>
        </is>
      </c>
      <c r="C160" s="2" t="inlineStr">
        <is>
          <t>採番順序(SRS L894)の2次キーがプロミネンス降順だが、key_col_resolved=false のピークは prominence=null(L1008)。採番は不備ゲート(全判定後・L940)より前に全件実行されるため、null を含むソートの決定論性(NFR-003)が未定義。null ピークのソート位置(末尾固定等)を明示するか、採番対象から除外する旨を規定する。</t>
        </is>
      </c>
      <c r="D160" s="2" t="inlineStr">
        <is>
          <t>設計</t>
        </is>
      </c>
      <c r="E160" s="4" t="inlineStr">
        <is>
          <t>中</t>
        </is>
      </c>
      <c r="F160" s="2" t="inlineStr"/>
      <c r="G160" s="2" t="inlineStr">
        <is>
          <t>Opus</t>
        </is>
      </c>
      <c r="H160" s="2" t="inlineStr">
        <is>
          <t>2026-06-29</t>
        </is>
      </c>
      <c r="I160" s="2" t="inlineStr">
        <is>
          <t>SRS</t>
        </is>
      </c>
      <c r="J160" s="2" t="inlineStr"/>
      <c r="K160" s="2" t="inlineStr">
        <is>
          <t>解決済</t>
        </is>
      </c>
      <c r="L160" s="2" t="inlineStr"/>
      <c r="M160" s="2" t="inlineStr"/>
      <c r="N160" s="2" t="inlineStr">
        <is>
          <t>FR-009 spec-panel レビュー指摘⑤（2026-06-29）。</t>
        </is>
      </c>
      <c r="O160" s="2" t="inlineStr">
        <is>
          <t>2026-06-29</t>
        </is>
      </c>
      <c r="P160" s="2" t="inlineStr">
        <is>
          <t>2026-06-29</t>
        </is>
      </c>
    </row>
    <row r="161" ht="40" customHeight="1">
      <c r="A161" s="2" t="inlineStr">
        <is>
          <t>ISSUE-161</t>
        </is>
      </c>
      <c r="B161" s="2" t="inlineStr">
        <is>
          <t>FR-009 1サミットが複数ピークのAZに同時包含される場合の帰属規則が未定義</t>
        </is>
      </c>
      <c r="C161" s="2" t="inlineStr">
        <is>
          <t>AZ内のSOTAサミット一意性(1AZに複数サミット無し・L877)は保証されるが、逆方向(1サミットが複数ピークのAZに同時包含)の帰属規則が未定義。どのピークが band_change 判定基準になるか曖昧(L880/L883-884)。AZ同士は数学的に重ならない根拠を明記するか、複数包含時の帰属タイブレークを規定する。</t>
        </is>
      </c>
      <c r="D161" s="2" t="inlineStr">
        <is>
          <t>設計</t>
        </is>
      </c>
      <c r="E161" s="4" t="inlineStr">
        <is>
          <t>中</t>
        </is>
      </c>
      <c r="F161" s="2" t="inlineStr"/>
      <c r="G161" s="2" t="inlineStr">
        <is>
          <t>Opus</t>
        </is>
      </c>
      <c r="H161" s="2" t="inlineStr">
        <is>
          <t>2026-06-29</t>
        </is>
      </c>
      <c r="I161" s="2" t="inlineStr">
        <is>
          <t>SRS</t>
        </is>
      </c>
      <c r="J161" s="2" t="inlineStr"/>
      <c r="K161" s="2" t="inlineStr">
        <is>
          <t>解決済</t>
        </is>
      </c>
      <c r="L161" s="2" t="inlineStr"/>
      <c r="M161" s="2" t="inlineStr"/>
      <c r="N161" s="2" t="inlineStr">
        <is>
          <t>FR-009 spec-panel レビュー指摘⑥（2026-06-29）。</t>
        </is>
      </c>
      <c r="O161" s="2" t="inlineStr">
        <is>
          <t>2026-06-29</t>
        </is>
      </c>
      <c r="P161" s="2" t="inlineStr">
        <is>
          <t>2026-06-29</t>
        </is>
      </c>
    </row>
    <row r="162" ht="40" customHeight="1">
      <c r="A162" s="2" t="inlineStr">
        <is>
          <t>ISSUE-162</t>
        </is>
      </c>
      <c r="B162" s="2" t="inlineStr">
        <is>
          <t>§6.2.11 SOTA サミットリスト CSV の使用カラムに ValidTo が欠落・FR-009 に廃止済みサミット除外仕様がない</t>
        </is>
      </c>
      <c r="C162" s="2" t="inlineStr">
        <is>
          <t>§6.2.11 の使用カラム（SummitCode, SummitName, AltM, Latitude, Longitude）に ValidTo が含まれておらず、廃止済み JA サミットの除外仕様が定義されていない。FR-009 の説明にも「JA プレフィックスサミットと突合する」とだけ書かれており ValidTo チェックの記述がない。実際に JA プレフィックスの廃止済みサミット（ValidTo ≠ 31/12/2099）が 147 件存在する。フィルタなしで突合対象に含めると ①delete 判定ゾーン内の廃止サミット → match_status=delete → 申請書に誤った削除行が自動出力 ②判定ゾーン外 → unmatched 件数増加 → 不備ゲート誤発動のリスクがある（lessons.md: 廃止データを母集団に含めない）。</t>
        </is>
      </c>
      <c r="D162" s="2" t="inlineStr">
        <is>
          <t>改善</t>
        </is>
      </c>
      <c r="E162" s="3" t="inlineStr">
        <is>
          <t>高</t>
        </is>
      </c>
      <c r="F162" s="2" t="inlineStr">
        <is>
          <t>その他</t>
        </is>
      </c>
      <c r="G162" s="2" t="inlineStr">
        <is>
          <t>Sonnet</t>
        </is>
      </c>
      <c r="H162" s="2" t="inlineStr">
        <is>
          <t>2026-06-29</t>
        </is>
      </c>
      <c r="I162" s="2" t="inlineStr">
        <is>
          <t>SRS</t>
        </is>
      </c>
      <c r="J162" s="2" t="inlineStr"/>
      <c r="K162" s="2" t="inlineStr">
        <is>
          <t>解決済</t>
        </is>
      </c>
      <c r="L162" s="2" t="inlineStr"/>
      <c r="M162" s="2" t="inlineStr">
        <is>
          <t>§6.2.11 の使用カラムに ValidTo を追記し、FR-009 の突合前処理として「ValidTo が実行日以降のサミットのみを突合対象とする」旨を明示する。除外条件の表現（実行日比較 vs 31/12/2099 固定判定）を仕様化する。</t>
        </is>
      </c>
      <c r="N162" s="2" t="inlineStr"/>
      <c r="O162" s="2" t="inlineStr">
        <is>
          <t>2026-06-29</t>
        </is>
      </c>
      <c r="P162" s="2" t="inlineStr">
        <is>
          <t>2026-06-29</t>
        </is>
      </c>
    </row>
    <row r="163" ht="40" customHeight="1">
      <c r="A163" s="2" t="inlineStr">
        <is>
          <t>ISSUE-163</t>
        </is>
      </c>
      <c r="B163" s="2" t="inlineStr">
        <is>
          <t>§6.1 No.10「使用/生成 FR」欄と FR 入出力テーブルの不整合（FR-004/FR-014 と地理院標高タイルの分類）</t>
        </is>
      </c>
      <c r="C163" s="2" t="inlineStr">
        <is>
          <t>§6.1 No.10（地理院標高タイル）の「使用/生成 FR」欄に FR-001/FR-004/FR-014/FR-019 と記載されているが、FR-004/FR-014 の入力テーブルでは「標高タイル（ローカルキャッシュ）」を「内部データ」として記載しており、外部I/F としての地理院標高タイルは列挙していない。ADR-SRS-016「ローカルキャッシュは内部データ」に基づくと FR-004/FR-014 が参照するのは内部データであり、§6.1 の「使用 FR」欄と FR 入出力テーブルが矛盾する。ADR-SRS-038「入出力テーブルが外部I/Fの単一の俯瞰点になる」という目的からも不整合が生じる。</t>
        </is>
      </c>
      <c r="D163" s="2" t="inlineStr">
        <is>
          <t>改善</t>
        </is>
      </c>
      <c r="E163" s="4" t="inlineStr">
        <is>
          <t>中</t>
        </is>
      </c>
      <c r="F163" s="2" t="inlineStr">
        <is>
          <t>その他</t>
        </is>
      </c>
      <c r="G163" s="2" t="inlineStr">
        <is>
          <t>Sonnet</t>
        </is>
      </c>
      <c r="H163" s="2" t="inlineStr">
        <is>
          <t>2026-06-29</t>
        </is>
      </c>
      <c r="I163" s="2" t="inlineStr">
        <is>
          <t>SRS</t>
        </is>
      </c>
      <c r="J163" s="2" t="inlineStr"/>
      <c r="K163" s="2" t="inlineStr">
        <is>
          <t>解決済</t>
        </is>
      </c>
      <c r="L163" s="2" t="inlineStr"/>
      <c r="M163" s="2" t="inlineStr">
        <is>
          <t>以下どちらかを選択して SRS を修正する。①§6.1 No.10 の「使用/生成 FR」を FR-001/FR-019 のみに修正（FR-004/FR-014 は外部I/F を直接使わず ADR-SRS-016 に従い内部データ経由とみなす）。②FR-004/FR-014 の入力テーブルに「地理院標高タイル（外部I/F・キャッシュ再利用）」を追加する（ADR-SRS-038 の「キャッシュ再利用を問わず列挙」を優先）。ADR-SRS-016 と ADR-SRS-038 のどちらを上位原則とするかを決めてから修正する。</t>
        </is>
      </c>
      <c r="N163" s="2" t="inlineStr"/>
      <c r="O163" s="2" t="inlineStr">
        <is>
          <t>2026-06-29</t>
        </is>
      </c>
      <c r="P163" s="2" t="inlineStr">
        <is>
          <t>2026-06-29</t>
        </is>
      </c>
    </row>
  </sheetData>
  <dataValidations count="5">
    <dataValidation sqref="K2:K163" showDropDown="0" showInputMessage="0" showErrorMessage="0" allowBlank="1" type="list">
      <formula1>"未対応,対応中,対応完了,解決済,却下"</formula1>
    </dataValidation>
    <dataValidation sqref="E2:E163" showDropDown="0" showInputMessage="0" showErrorMessage="0" allowBlank="1" type="list">
      <formula1>"高,中,低"</formula1>
    </dataValidation>
    <dataValidation sqref="D2:D163" showDropDown="0" showInputMessage="0" showErrorMessage="0" allowBlank="1" type="list">
      <formula1>"改善,調査,設計"</formula1>
    </dataValidation>
    <dataValidation sqref="I2:I163" showDropDown="0" showInputMessage="0" showErrorMessage="0" allowBlank="1" type="list">
      <formula1>"URD,SRS,HLD,LLD,COD,UT,IT,ST,OPS"</formula1>
    </dataValidation>
    <dataValidation sqref="J2:J16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162</v>
      </c>
    </row>
    <row r="3">
      <c r="A3" s="10" t="inlineStr">
        <is>
          <t>未解決件数</t>
        </is>
      </c>
      <c r="B3" s="11" t="n">
        <v>14</v>
      </c>
    </row>
    <row r="4">
      <c r="A4" s="10" t="inlineStr">
        <is>
          <t>解決済件数</t>
        </is>
      </c>
      <c r="B4" s="11" t="n">
        <v>131</v>
      </c>
    </row>
    <row r="5">
      <c r="A5" s="10" t="inlineStr">
        <is>
          <t>解決率</t>
        </is>
      </c>
      <c r="B5" s="11" t="inlineStr">
        <is>
          <t>80.9%</t>
        </is>
      </c>
    </row>
    <row r="7">
      <c r="A7" s="8" t="inlineStr">
        <is>
          <t>ステータス別</t>
        </is>
      </c>
      <c r="B7" s="9" t="n"/>
    </row>
    <row r="8">
      <c r="A8" s="10" t="inlineStr">
        <is>
          <t>未対応</t>
        </is>
      </c>
      <c r="B8" s="11" t="n">
        <v>14</v>
      </c>
    </row>
    <row r="9">
      <c r="A9" s="10" t="inlineStr">
        <is>
          <t>対応中</t>
        </is>
      </c>
      <c r="B9" s="11" t="n">
        <v>0</v>
      </c>
    </row>
    <row r="10">
      <c r="A10" s="10" t="inlineStr">
        <is>
          <t>対応完了</t>
        </is>
      </c>
      <c r="B10" s="11" t="n">
        <v>0</v>
      </c>
    </row>
    <row r="11">
      <c r="A11" s="10" t="inlineStr">
        <is>
          <t>解決済</t>
        </is>
      </c>
      <c r="B11" s="11" t="n">
        <v>131</v>
      </c>
    </row>
    <row r="12">
      <c r="A12" s="10" t="inlineStr">
        <is>
          <t>却下</t>
        </is>
      </c>
      <c r="B12" s="11" t="n">
        <v>17</v>
      </c>
    </row>
    <row r="14">
      <c r="A14" s="8" t="inlineStr">
        <is>
          <t>優先度別（未解決）</t>
        </is>
      </c>
      <c r="B14" s="9" t="n"/>
    </row>
    <row r="15">
      <c r="A15" s="10" t="inlineStr">
        <is>
          <t>高</t>
        </is>
      </c>
      <c r="B15" s="11" t="n">
        <v>7</v>
      </c>
    </row>
    <row r="16">
      <c r="A16" s="10" t="inlineStr">
        <is>
          <t>中</t>
        </is>
      </c>
      <c r="B16" s="11" t="n">
        <v>6</v>
      </c>
    </row>
    <row r="17">
      <c r="A17" s="10" t="inlineStr">
        <is>
          <t>低</t>
        </is>
      </c>
      <c r="B17" s="11" t="n">
        <v>1</v>
      </c>
    </row>
    <row r="19">
      <c r="A19" s="8" t="inlineStr">
        <is>
          <t>種別別（未解決）</t>
        </is>
      </c>
      <c r="B19" s="9" t="n"/>
    </row>
    <row r="20">
      <c r="A20" s="10" t="inlineStr">
        <is>
          <t>改善</t>
        </is>
      </c>
      <c r="B20" s="11" t="n">
        <v>8</v>
      </c>
    </row>
    <row r="21">
      <c r="A21" s="10" t="inlineStr">
        <is>
          <t>調査</t>
        </is>
      </c>
      <c r="B21" s="11" t="n">
        <v>1</v>
      </c>
    </row>
    <row r="22">
      <c r="A22" s="10" t="inlineStr">
        <is>
          <t>設計</t>
        </is>
      </c>
      <c r="B22" s="11" t="n">
        <v>5</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1</v>
      </c>
    </row>
    <row r="30">
      <c r="A30" s="8" t="inlineStr">
        <is>
          <t>ステージ別（未解決）</t>
        </is>
      </c>
      <c r="B30" s="9" t="n"/>
    </row>
    <row r="31">
      <c r="A31" s="10" t="inlineStr">
        <is>
          <t>SRS</t>
        </is>
      </c>
      <c r="B31" s="11" t="n">
        <v>11</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153</v>
      </c>
      <c r="C64" t="n">
        <v>133</v>
      </c>
      <c r="D64" t="n">
        <v>119</v>
      </c>
    </row>
    <row r="65">
      <c r="A65" t="inlineStr">
        <is>
          <t>2026-06-29</t>
        </is>
      </c>
      <c r="B65" t="n">
        <v>162</v>
      </c>
      <c r="C65" t="n">
        <v>142</v>
      </c>
      <c r="D65" t="n">
        <v>142</v>
      </c>
    </row>
    <row r="66">
      <c r="A66" t="inlineStr">
        <is>
          <t>2026-06-30</t>
        </is>
      </c>
      <c r="B66" t="n">
        <v>162</v>
      </c>
      <c r="C66" t="n">
        <v>142</v>
      </c>
      <c r="D66" t="n">
        <v>142</v>
      </c>
    </row>
    <row r="67">
      <c r="A67" t="inlineStr">
        <is>
          <t>2026-07-01</t>
        </is>
      </c>
      <c r="B67" t="n">
        <v>162</v>
      </c>
      <c r="C67" t="n">
        <v>148</v>
      </c>
      <c r="D67" t="n">
        <v>148</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2026-07-01T08:17:45Z</dcterms:created>
  <dcterms:modified xsi:type="dcterms:W3CDTF">2026-07-01T08:17:45Z</dcterms:modified>
</cp:coreProperties>
</file>