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numRef>
              <f>'収束グラフ'!$A$2:$A$24</f>
            </numRef>
          </cat>
          <val>
            <numRef>
              <f>'収束グラフ'!$B$2:$B$24</f>
            </numRef>
          </val>
        </ser>
        <ser>
          <idx val="1"/>
          <order val="1"/>
          <tx>
            <strRef>
              <f>'収束グラフ'!C1</f>
            </strRef>
          </tx>
          <spPr>
            <a:ln w="20000">
              <a:solidFill>
                <a:srgbClr val="4472C4"/>
              </a:solidFill>
              <a:prstDash val="solid"/>
            </a:ln>
          </spPr>
          <marker>
            <symbol val="none"/>
            <spPr>
              <a:ln>
                <a:prstDash val="solid"/>
              </a:ln>
            </spPr>
          </marker>
          <cat>
            <numRef>
              <f>'収束グラフ'!$A$2:$A$24</f>
            </numRef>
          </cat>
          <val>
            <numRef>
              <f>'収束グラフ'!$C$2:$C$24</f>
            </numRef>
          </val>
        </ser>
        <ser>
          <idx val="2"/>
          <order val="2"/>
          <tx>
            <strRef>
              <f>'収束グラフ'!D1</f>
            </strRef>
          </tx>
          <spPr>
            <a:ln w="20000">
              <a:solidFill>
                <a:srgbClr val="70AD47"/>
              </a:solidFill>
              <a:prstDash val="solid"/>
            </a:ln>
          </spPr>
          <marker>
            <symbol val="none"/>
            <spPr>
              <a:ln>
                <a:prstDash val="solid"/>
              </a:ln>
            </spPr>
          </marker>
          <cat>
            <numRef>
              <f>'収束グラフ'!$A$2:$A$24</f>
            </numRef>
          </cat>
          <val>
            <numRef>
              <f>'収束グラフ'!$D$2:$D$24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7" t="inlineStr">
        <is>
          <t>ISSUE-014</t>
        </is>
      </c>
      <c r="B15" s="7" t="inlineStr">
        <is>
          <t>削除候補サミットの最近接検出ピーク特定</t>
        </is>
      </c>
      <c r="C15" s="7"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7" t="inlineStr">
        <is>
          <t>機能追加</t>
        </is>
      </c>
      <c r="E15" s="5" t="inlineStr">
        <is>
          <t>中</t>
        </is>
      </c>
      <c r="F15" s="7" t="inlineStr"/>
      <c r="G15" s="7" t="inlineStr"/>
      <c r="H15" s="7" t="inlineStr">
        <is>
          <t>2026-05-09</t>
        </is>
      </c>
      <c r="I15" s="7" t="inlineStr">
        <is>
          <t>SRS</t>
        </is>
      </c>
      <c r="J15" s="7" t="inlineStr">
        <is>
          <t>対応完了</t>
        </is>
      </c>
      <c r="K15" s="7" t="inlineStr"/>
      <c r="L15" s="7" t="inlineStr"/>
      <c r="M15" s="7" t="inlineStr"/>
      <c r="N15" s="7" t="inlineStr">
        <is>
          <t>2026-05-10</t>
        </is>
      </c>
      <c r="O15" s="7"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t>
        </is>
      </c>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4" t="inlineStr">
        <is>
          <t>ISSUE-021</t>
        </is>
      </c>
      <c r="B22" s="4" t="inlineStr">
        <is>
          <t>FR-014: 上書きスコープ（per-mesh 更新有無）の明確化</t>
        </is>
      </c>
      <c r="C22" s="4"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4" t="inlineStr">
        <is>
          <t>改善</t>
        </is>
      </c>
      <c r="E22" s="5" t="inlineStr">
        <is>
          <t>中</t>
        </is>
      </c>
      <c r="F22" s="4" t="inlineStr">
        <is>
          <t>merge.py</t>
        </is>
      </c>
      <c r="G22" s="4" t="inlineStr"/>
      <c r="H22" s="4" t="inlineStr">
        <is>
          <t>2026-05-14</t>
        </is>
      </c>
      <c r="I22" s="4" t="inlineStr">
        <is>
          <t>SRS</t>
        </is>
      </c>
      <c r="J22" s="4" t="inlineStr">
        <is>
          <t>対応完了</t>
        </is>
      </c>
      <c r="K22" s="4" t="inlineStr"/>
      <c r="L22" s="4" t="inlineStr">
        <is>
          <t>FR-014 出力節に以下のいずれかを明示:
案A: 'per-mesh ファイルは更新せず、merged.csv / merged_activation.geojson のみ更新'
案B: '中間ファイルも更新する'（再現性向上のため）</t>
        </is>
      </c>
      <c r="M22" s="4" t="inlineStr"/>
      <c r="N22" s="4" t="inlineStr">
        <is>
          <t>2026-05-18</t>
        </is>
      </c>
      <c r="O22" s="4" t="inlineStr"/>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4" t="inlineStr">
        <is>
          <t>ISSUE-033</t>
        </is>
      </c>
      <c r="B34" s="4" t="inlineStr">
        <is>
          <t>SRS FR-018: FR-014 参照記述の整合性修正（フェーズ構成組み替えの取り残し）</t>
        </is>
      </c>
      <c r="C34" s="4"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4" t="inlineStr">
        <is>
          <t>設計</t>
        </is>
      </c>
      <c r="E34" s="3" t="inlineStr">
        <is>
          <t>高</t>
        </is>
      </c>
      <c r="F34" s="4" t="inlineStr">
        <is>
          <t>解析エンジン</t>
        </is>
      </c>
      <c r="G34" s="4" t="inlineStr"/>
      <c r="H34" s="4" t="inlineStr">
        <is>
          <t>2026-05-17</t>
        </is>
      </c>
      <c r="I34" s="4" t="inlineStr">
        <is>
          <t>SRS</t>
        </is>
      </c>
      <c r="J34" s="4" t="inlineStr">
        <is>
          <t>対応完了</t>
        </is>
      </c>
      <c r="K34" s="4" t="inlineStr"/>
      <c r="L34" s="4"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4" t="inlineStr"/>
      <c r="N34" s="4" t="inlineStr">
        <is>
          <t>2026-05-18</t>
        </is>
      </c>
      <c r="O34" s="4" t="inlineStr"/>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COD</t>
        </is>
      </c>
      <c r="J37" s="7" t="inlineStr">
        <is>
          <t>未対応</t>
        </is>
      </c>
      <c r="K37" s="7" t="inlineStr"/>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COD</t>
        </is>
      </c>
      <c r="J38" s="4" t="inlineStr">
        <is>
          <t>未対応</t>
        </is>
      </c>
      <c r="K38" s="4" t="inlineStr"/>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COD</t>
        </is>
      </c>
      <c r="J39" s="7" t="inlineStr">
        <is>
          <t>未対応</t>
        </is>
      </c>
      <c r="K39" s="7" t="inlineStr"/>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COD</t>
        </is>
      </c>
      <c r="J40" s="4" t="inlineStr">
        <is>
          <t>未対応</t>
        </is>
      </c>
      <c r="K40" s="4" t="inlineStr"/>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COD</t>
        </is>
      </c>
      <c r="J41" s="7" t="inlineStr">
        <is>
          <t>未対応</t>
        </is>
      </c>
      <c r="K41" s="7" t="inlineStr"/>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sheetData>
  <dataValidations count="4">
    <dataValidation sqref="J2:J41" showDropDown="0" showInputMessage="0" showErrorMessage="0" allowBlank="1" type="list">
      <formula1>"未対応,対応中,対応完了,解決済,却下"</formula1>
    </dataValidation>
    <dataValidation sqref="E2:E41" showDropDown="0" showInputMessage="0" showErrorMessage="0" allowBlank="1" type="list">
      <formula1>"高,中,低"</formula1>
    </dataValidation>
    <dataValidation sqref="D2:D41" showDropDown="0" showInputMessage="0" showErrorMessage="0" allowBlank="1" type="list">
      <formula1>"機能追加,改善,調査,設計"</formula1>
    </dataValidation>
    <dataValidation sqref="I2:I4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40</v>
      </c>
    </row>
    <row r="3">
      <c r="A3" s="10" t="inlineStr">
        <is>
          <t>未解決件数</t>
        </is>
      </c>
      <c r="B3" s="11" t="n">
        <v>27</v>
      </c>
    </row>
    <row r="4">
      <c r="A4" s="10" t="inlineStr">
        <is>
          <t>解決済件数</t>
        </is>
      </c>
      <c r="B4" s="11" t="n">
        <v>9</v>
      </c>
    </row>
    <row r="5">
      <c r="A5" s="10" t="inlineStr">
        <is>
          <t>解決率</t>
        </is>
      </c>
      <c r="B5" s="11" t="inlineStr">
        <is>
          <t>22.5%</t>
        </is>
      </c>
    </row>
    <row r="7">
      <c r="A7" s="8" t="inlineStr">
        <is>
          <t>ステータス別</t>
        </is>
      </c>
      <c r="B7" s="9" t="n"/>
    </row>
    <row r="8">
      <c r="A8" s="10" t="inlineStr">
        <is>
          <t>未対応</t>
        </is>
      </c>
      <c r="B8" s="11" t="n">
        <v>24</v>
      </c>
    </row>
    <row r="9">
      <c r="A9" s="10" t="inlineStr">
        <is>
          <t>対応中</t>
        </is>
      </c>
      <c r="B9" s="11" t="n">
        <v>0</v>
      </c>
    </row>
    <row r="10">
      <c r="A10" s="10" t="inlineStr">
        <is>
          <t>対応完了</t>
        </is>
      </c>
      <c r="B10" s="11" t="n">
        <v>3</v>
      </c>
    </row>
    <row r="11">
      <c r="A11" s="10" t="inlineStr">
        <is>
          <t>解決済</t>
        </is>
      </c>
      <c r="B11" s="11" t="n">
        <v>9</v>
      </c>
    </row>
    <row r="12">
      <c r="A12" s="10" t="inlineStr">
        <is>
          <t>却下</t>
        </is>
      </c>
      <c r="B12" s="11" t="n">
        <v>4</v>
      </c>
    </row>
    <row r="14">
      <c r="A14" s="8" t="inlineStr">
        <is>
          <t>優先度別（未解決）</t>
        </is>
      </c>
      <c r="B14" s="9" t="n"/>
    </row>
    <row r="15">
      <c r="A15" s="10" t="inlineStr">
        <is>
          <t>高</t>
        </is>
      </c>
      <c r="B15" s="11" t="n">
        <v>9</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12</v>
      </c>
    </row>
    <row r="22">
      <c r="A22" s="10" t="inlineStr">
        <is>
          <t>調査</t>
        </is>
      </c>
      <c r="B22" s="11" t="n">
        <v>2</v>
      </c>
    </row>
    <row r="23">
      <c r="A23" s="10" t="inlineStr">
        <is>
          <t>設計</t>
        </is>
      </c>
      <c r="B23" s="11" t="n">
        <v>5</v>
      </c>
    </row>
    <row r="25">
      <c r="A25" s="8" t="inlineStr">
        <is>
          <t>カテゴリ別（未解決）</t>
        </is>
      </c>
      <c r="B25" s="9" t="n"/>
    </row>
    <row r="26">
      <c r="A26" s="10" t="inlineStr">
        <is>
          <t>解析エンジン</t>
        </is>
      </c>
      <c r="B26" s="11" t="n">
        <v>7</v>
      </c>
    </row>
    <row r="27">
      <c r="A27" s="10" t="inlineStr">
        <is>
          <t>merge.py</t>
        </is>
      </c>
      <c r="B27" s="11" t="n">
        <v>5</v>
      </c>
    </row>
    <row r="28">
      <c r="A28" s="10" t="inlineStr">
        <is>
          <t>GeoJSON出力</t>
        </is>
      </c>
      <c r="B28" s="11" t="n">
        <v>1</v>
      </c>
    </row>
    <row r="29">
      <c r="A29" s="10" t="inlineStr">
        <is>
          <t>その他</t>
        </is>
      </c>
      <c r="B29" s="11" t="n">
        <v>10</v>
      </c>
    </row>
    <row r="31">
      <c r="A31" s="8" t="inlineStr">
        <is>
          <t>ステージ別（未解決）</t>
        </is>
      </c>
      <c r="B31" s="9" t="n"/>
    </row>
    <row r="32">
      <c r="A32" s="10" t="inlineStr">
        <is>
          <t>URD</t>
        </is>
      </c>
      <c r="B32" s="11" t="n">
        <v>2</v>
      </c>
    </row>
    <row r="33">
      <c r="A33" s="10" t="inlineStr">
        <is>
          <t>SRS</t>
        </is>
      </c>
      <c r="B33" s="11" t="n">
        <v>14</v>
      </c>
    </row>
    <row r="34">
      <c r="A34" s="10" t="inlineStr">
        <is>
          <t>HLD</t>
        </is>
      </c>
      <c r="B34" s="11" t="n">
        <v>1</v>
      </c>
    </row>
    <row r="35">
      <c r="A35" s="10" t="inlineStr">
        <is>
          <t>COD</t>
        </is>
      </c>
      <c r="B35" s="11" t="n">
        <v>8</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40</v>
      </c>
      <c r="C24" t="n">
        <v>16</v>
      </c>
      <c r="D24" t="n">
        <v>13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2026-05-19T06:30:24Z</dcterms:created>
  <dcterms:modified xsi:type="dcterms:W3CDTF">2026-05-19T06:30:24Z</dcterms:modified>
</cp:coreProperties>
</file>