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'収束グラフ'!$A$2:$A$41</f>
            </strRef>
          </cat>
          <val>
            <numRef>
              <f>'収束グラフ'!$B$2:$B$41</f>
            </numRef>
          </val>
        </ser>
        <ser>
          <idx val="1"/>
          <order val="1"/>
          <tx>
            <strRef>
              <f>'収束グラフ'!C1</f>
            </strRef>
          </tx>
          <spPr>
            <a:ln w="20000">
              <a:solidFill>
                <a:srgbClr val="4472C4"/>
              </a:solidFill>
              <a:prstDash val="solid"/>
            </a:ln>
          </spPr>
          <marker>
            <symbol val="none"/>
            <spPr>
              <a:ln>
                <a:prstDash val="solid"/>
              </a:ln>
            </spPr>
          </marker>
          <cat>
            <strRef>
              <f>'収束グラフ'!$A$2:$A$41</f>
            </strRef>
          </cat>
          <val>
            <numRef>
              <f>'収束グラフ'!$C$2:$C$41</f>
            </numRef>
          </val>
        </ser>
        <ser>
          <idx val="2"/>
          <order val="2"/>
          <tx>
            <strRef>
              <f>'収束グラフ'!D1</f>
            </strRef>
          </tx>
          <spPr>
            <a:ln w="20000">
              <a:solidFill>
                <a:srgbClr val="70AD47"/>
              </a:solidFill>
              <a:prstDash val="solid"/>
            </a:ln>
          </spPr>
          <marker>
            <symbol val="none"/>
            <spPr>
              <a:ln>
                <a:prstDash val="solid"/>
              </a:ln>
            </spPr>
          </marker>
          <cat>
            <strRef>
              <f>'収束グラフ'!$A$2:$A$41</f>
            </strRef>
          </cat>
          <val>
            <numRef>
              <f>'収束グラフ'!$D$2:$D$41</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4" t="inlineStr">
        <is>
          <t>中</t>
        </is>
      </c>
      <c r="F25" s="7" t="inlineStr">
        <is>
          <t>解析エンジン</t>
        </is>
      </c>
      <c r="G25" s="7" t="inlineStr"/>
      <c r="H25" s="7" t="inlineStr">
        <is>
          <t>2026-05-14</t>
        </is>
      </c>
      <c r="I25" s="7" t="inlineStr">
        <is>
          <t>SRS</t>
        </is>
      </c>
      <c r="J25" s="7" t="inlineStr">
        <is>
          <t>SRS</t>
        </is>
      </c>
      <c r="K25" s="7" t="inlineStr">
        <is>
          <t>対応完了</t>
        </is>
      </c>
      <c r="L25" s="7" t="inlineStr"/>
      <c r="M25" s="7" t="inlineStr">
        <is>
          <t>FR-015 に縮小方式を明示する（推奨: max pooling でダウンサンプル、NODATA は除外）。もしくは HLD で規定する旨を SRS に明記。</t>
        </is>
      </c>
      <c r="N25" s="7" t="inlineStr"/>
      <c r="O25" s="7" t="inlineStr">
        <is>
          <t>2026-05-23</t>
        </is>
      </c>
      <c r="P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6" t="inlineStr">
        <is>
          <t>ISSUE-029</t>
        </is>
      </c>
      <c r="B30" s="6" t="inlineStr">
        <is>
          <t>UR-008 / UR-009 の要件性検討（NFR への再マップ）</t>
        </is>
      </c>
      <c r="C30" s="6"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6" t="inlineStr">
        <is>
          <t>設計</t>
        </is>
      </c>
      <c r="E30" s="4" t="inlineStr">
        <is>
          <t>中</t>
        </is>
      </c>
      <c r="F30" s="6" t="inlineStr">
        <is>
          <t>その他</t>
        </is>
      </c>
      <c r="G30" s="6" t="inlineStr"/>
      <c r="H30" s="6" t="inlineStr">
        <is>
          <t>2026-05-14</t>
        </is>
      </c>
      <c r="I30" s="6" t="inlineStr">
        <is>
          <t>URD</t>
        </is>
      </c>
      <c r="J30" s="6" t="inlineStr">
        <is>
          <t>SRS</t>
        </is>
      </c>
      <c r="K30" s="6" t="inlineStr">
        <is>
          <t>対応完了</t>
        </is>
      </c>
      <c r="L30" s="6" t="inlineStr"/>
      <c r="M30" s="6"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6"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6" t="inlineStr">
        <is>
          <t>2026-05-24</t>
        </is>
      </c>
      <c r="P30" s="6" t="inlineStr"/>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6" t="inlineStr">
        <is>
          <t>ISSUE-045</t>
        </is>
      </c>
      <c r="B46" s="6" t="inlineStr">
        <is>
          <t>params/config.ini.example: delete_zone_max_drop = 250 パラメータ追加</t>
        </is>
      </c>
      <c r="C46" s="6" t="inlineStr">
        <is>
          <t>ADR-SRS-011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6" t="inlineStr">
        <is>
          <t>ISSUE-053</t>
        </is>
      </c>
      <c r="B54" s="6" t="inlineStr">
        <is>
          <t>docs/figures/context.drawio: ラベル大文字統一（xlsx→XLSX、csv→CSV）</t>
        </is>
      </c>
      <c r="C54" s="6" t="inlineStr">
        <is>
          <t>context.drawio 内のラベル表記ゆらぎを修正。「申請書 xlsx」→「申請書 XLSX」、「エビデンス csv」→「エビデンス CSV」に統一する。SVG エクスポートはユーザーが draw.io で対応。</t>
        </is>
      </c>
      <c r="D54" s="6" t="inlineStr">
        <is>
          <t>改善</t>
        </is>
      </c>
      <c r="E54" s="5" t="inlineStr">
        <is>
          <t>低</t>
        </is>
      </c>
      <c r="F54" s="6" t="inlineStr"/>
      <c r="G54" s="6" t="inlineStr"/>
      <c r="H54" s="6" t="inlineStr">
        <is>
          <t>2026-05-23</t>
        </is>
      </c>
      <c r="I54" s="6" t="inlineStr">
        <is>
          <t>SRS</t>
        </is>
      </c>
      <c r="J54" s="6" t="inlineStr">
        <is>
          <t>SRS</t>
        </is>
      </c>
      <c r="K54" s="6" t="inlineStr">
        <is>
          <t>未対応</t>
        </is>
      </c>
      <c r="L54" s="6" t="inlineStr"/>
      <c r="M54" s="6" t="inlineStr"/>
      <c r="N54" s="6" t="inlineStr"/>
      <c r="O54" s="6" t="inlineStr"/>
      <c r="P54" s="6" t="inlineStr"/>
    </row>
    <row r="55" ht="40" customHeight="1">
      <c r="A55" s="7" t="inlineStr">
        <is>
          <t>ISSUE-054</t>
        </is>
      </c>
      <c r="B55" s="7" t="inlineStr">
        <is>
          <t>モックアップ: 陸地最高峰ピークの専用表示追加</t>
        </is>
      </c>
      <c r="C55" s="7"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7" t="inlineStr">
        <is>
          <t>改善</t>
        </is>
      </c>
      <c r="E55" s="5" t="inlineStr">
        <is>
          <t>低</t>
        </is>
      </c>
      <c r="F55" s="7" t="inlineStr"/>
      <c r="G55" s="7" t="inlineStr"/>
      <c r="H55" s="7" t="inlineStr">
        <is>
          <t>2026-05-24</t>
        </is>
      </c>
      <c r="I55" s="7" t="inlineStr"/>
      <c r="J55" s="7" t="inlineStr"/>
      <c r="K55" s="7" t="inlineStr">
        <is>
          <t>対応完了</t>
        </is>
      </c>
      <c r="L55" s="7" t="inlineStr"/>
      <c r="M55" s="7" t="inlineStr"/>
      <c r="N55" s="7" t="inlineStr"/>
      <c r="O55" s="7" t="inlineStr">
        <is>
          <t>2026-05-24</t>
        </is>
      </c>
      <c r="P55" s="7" t="inlineStr"/>
    </row>
    <row r="56" ht="40" customHeight="1">
      <c r="A56" s="6" t="inlineStr">
        <is>
          <t>ISSUE-055</t>
        </is>
      </c>
      <c r="B56" s="6" t="inlineStr">
        <is>
          <t>SRS: GeoJSONビューア（HTMLビュー）のUI要件追加</t>
        </is>
      </c>
      <c r="C56" s="6" t="inlineStr"/>
      <c r="D56" s="6" t="inlineStr">
        <is>
          <t>機能追加</t>
        </is>
      </c>
      <c r="E56" s="4" t="inlineStr">
        <is>
          <t>中</t>
        </is>
      </c>
      <c r="F56" s="6" t="inlineStr"/>
      <c r="G56" s="6" t="inlineStr"/>
      <c r="H56" s="6" t="inlineStr">
        <is>
          <t>2026-05-24</t>
        </is>
      </c>
      <c r="I56" s="6" t="inlineStr">
        <is>
          <t>SRS</t>
        </is>
      </c>
      <c r="J56" s="6" t="inlineStr"/>
      <c r="K56" s="6" t="inlineStr">
        <is>
          <t>対応完了</t>
        </is>
      </c>
      <c r="L56" s="6" t="inlineStr"/>
      <c r="M56" s="6" t="inlineStr"/>
      <c r="N56" s="6"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6" t="inlineStr">
        <is>
          <t>2026-05-28</t>
        </is>
      </c>
      <c r="P56" s="6" t="inlineStr"/>
    </row>
    <row r="57" ht="40" customHeight="1">
      <c r="A57" s="7" t="inlineStr">
        <is>
          <t>ISSUE-056</t>
        </is>
      </c>
      <c r="B57" s="7" t="inlineStr">
        <is>
          <t>prefetch_tiles.py: FR-001 仕様追従（全種別独立取得・404時キャッシュ削除）</t>
        </is>
      </c>
      <c r="C57" s="7"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7" t="inlineStr">
        <is>
          <t>改善</t>
        </is>
      </c>
      <c r="E57" s="3" t="inlineStr">
        <is>
          <t>高</t>
        </is>
      </c>
      <c r="F57" s="7" t="inlineStr"/>
      <c r="G57" s="7" t="inlineStr"/>
      <c r="H57" s="7" t="inlineStr">
        <is>
          <t>2026-05-25</t>
        </is>
      </c>
      <c r="I57" s="7" t="inlineStr">
        <is>
          <t>COD</t>
        </is>
      </c>
      <c r="J57" s="7" t="inlineStr"/>
      <c r="K57" s="7" t="inlineStr">
        <is>
          <t>未対応</t>
        </is>
      </c>
      <c r="L57" s="7" t="inlineStr"/>
      <c r="M57" s="7" t="inlineStr"/>
      <c r="N57" s="7" t="inlineStr"/>
      <c r="O57" s="7" t="inlineStr"/>
      <c r="P57" s="7" t="inlineStr"/>
    </row>
    <row r="58" ht="40" customHeight="1">
      <c r="A58" s="6" t="inlineStr">
        <is>
          <t>ISSUE-057</t>
        </is>
      </c>
      <c r="B58" s="6" t="inlineStr">
        <is>
          <t>SRS 機能要件セクション: 各 FR を統一フォーマット（対応UR/概要/入力/出力/詳細）に整理</t>
        </is>
      </c>
      <c r="C58" s="6"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6" t="inlineStr">
        <is>
          <t>改善</t>
        </is>
      </c>
      <c r="E58" s="4" t="inlineStr">
        <is>
          <t>中</t>
        </is>
      </c>
      <c r="F58" s="6" t="inlineStr">
        <is>
          <t>その他</t>
        </is>
      </c>
      <c r="G58" s="6" t="inlineStr"/>
      <c r="H58" s="6" t="inlineStr">
        <is>
          <t>2026-05-29</t>
        </is>
      </c>
      <c r="I58" s="6" t="inlineStr">
        <is>
          <t>SRS</t>
        </is>
      </c>
      <c r="J58" s="6" t="inlineStr">
        <is>
          <t>SRS</t>
        </is>
      </c>
      <c r="K58" s="6" t="inlineStr">
        <is>
          <t>対応完了</t>
        </is>
      </c>
      <c r="L58" s="6" t="inlineStr"/>
      <c r="M58" s="6" t="inlineStr"/>
      <c r="N58" s="6" t="inlineStr">
        <is>
          <t>形式・入出力欄の扱いはユーザーと事前合意済み（plan.md 参照）。20 FR 各々の概要・入力・出力は plan.md の表で確定済み。</t>
        </is>
      </c>
      <c r="O58" s="6" t="inlineStr">
        <is>
          <t>2026-05-29</t>
        </is>
      </c>
      <c r="P58" s="6" t="inlineStr"/>
    </row>
    <row r="59" ht="40" customHeight="1">
      <c r="A59" s="7" t="inlineStr">
        <is>
          <t>ISSUE-058</t>
        </is>
      </c>
      <c r="B59" s="7" t="inlineStr">
        <is>
          <t>SRS: ステップ廃止・フェーズ5新設・FR-013分割・FR-019/020追加</t>
        </is>
      </c>
      <c r="C59" s="7" t="inlineStr"/>
      <c r="D59" s="7" t="inlineStr">
        <is>
          <t>改善</t>
        </is>
      </c>
      <c r="E59" s="3" t="inlineStr">
        <is>
          <t>高</t>
        </is>
      </c>
      <c r="F59" s="7" t="inlineStr"/>
      <c r="G59" s="7" t="inlineStr"/>
      <c r="H59" s="7" t="inlineStr">
        <is>
          <t>2026-05-29</t>
        </is>
      </c>
      <c r="I59" s="7" t="inlineStr">
        <is>
          <t>SRS</t>
        </is>
      </c>
      <c r="J59" s="7" t="inlineStr"/>
      <c r="K59" s="7" t="inlineStr">
        <is>
          <t>対応完了</t>
        </is>
      </c>
      <c r="L59" s="7" t="inlineStr"/>
      <c r="M59" s="7" t="inlineStr"/>
      <c r="N59" s="7" t="inlineStr">
        <is>
          <t>ステップ層撤廃・フェーズ3.5内包・FR-013をビューア生成仕様(残置)とビューア機能仕様(FR-019新規)に分割・フェーズ5:申請書生成新設(FR-019/011/012/020)・公開用HTML生成FR-020新規追加。詳細: mgmt/plan.md</t>
        </is>
      </c>
      <c r="O59" s="7" t="inlineStr">
        <is>
          <t>2026-05-29</t>
        </is>
      </c>
      <c r="P59" s="7" t="inlineStr"/>
    </row>
    <row r="60" ht="40" customHeight="1">
      <c r="A60" s="6" t="inlineStr">
        <is>
          <t>ISSUE-059</t>
        </is>
      </c>
      <c r="B60" s="6" t="inlineStr">
        <is>
          <t>実装側ファイル名追従: merged_peak.csv / merged_summit.xlsx リネーム</t>
        </is>
      </c>
      <c r="C60" s="6"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6" t="inlineStr">
        <is>
          <t>改善</t>
        </is>
      </c>
      <c r="E60" s="3" t="inlineStr">
        <is>
          <t>高</t>
        </is>
      </c>
      <c r="F60" s="6" t="inlineStr">
        <is>
          <t>merge.py</t>
        </is>
      </c>
      <c r="G60" s="6" t="inlineStr"/>
      <c r="H60" s="6" t="inlineStr">
        <is>
          <t>2026-05-29</t>
        </is>
      </c>
      <c r="I60" s="6" t="inlineStr">
        <is>
          <t>COD</t>
        </is>
      </c>
      <c r="J60" s="6" t="inlineStr"/>
      <c r="K60" s="6" t="inlineStr">
        <is>
          <t>未対応</t>
        </is>
      </c>
      <c r="L60" s="6" t="inlineStr"/>
      <c r="M60" s="6" t="inlineStr">
        <is>
          <t>merge.py の DEFAULT_OUTPUT 変更 + output_geojson.py の DEFAULT_INPUT 変更 + output_geojson.py に merged_summit.csv 出力処理追加</t>
        </is>
      </c>
      <c r="N60" s="6"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6" t="inlineStr"/>
      <c r="P60" s="6" t="inlineStr"/>
    </row>
    <row r="61" ht="40" customHeight="1">
      <c r="A61" s="7" t="inlineStr">
        <is>
          <t>ISSUE-060</t>
        </is>
      </c>
      <c r="B61" s="7" t="inlineStr">
        <is>
          <t>CLAUDE.md / README.md の merged.csv 言及箇所を新命名に更新</t>
        </is>
      </c>
      <c r="C61" s="7" t="inlineStr">
        <is>
          <t>SRS 改訂（merged.csv 命名整理）に伴うドキュメント追従。CLAUDE.md L63 他 merged.csv を参照しているドキュメント箇所を merged_peak.csv / merged_summit.csv に更新する。</t>
        </is>
      </c>
      <c r="D61" s="7" t="inlineStr">
        <is>
          <t>改善</t>
        </is>
      </c>
      <c r="E61" s="5" t="inlineStr">
        <is>
          <t>低</t>
        </is>
      </c>
      <c r="F61" s="7" t="inlineStr">
        <is>
          <t>その他</t>
        </is>
      </c>
      <c r="G61" s="7" t="inlineStr"/>
      <c r="H61" s="7" t="inlineStr">
        <is>
          <t>2026-05-29</t>
        </is>
      </c>
      <c r="I61" s="7" t="inlineStr">
        <is>
          <t>COD</t>
        </is>
      </c>
      <c r="J61" s="7" t="inlineStr"/>
      <c r="K61" s="7" t="inlineStr">
        <is>
          <t>未対応</t>
        </is>
      </c>
      <c r="L61" s="7" t="inlineStr"/>
      <c r="M61" s="7" t="inlineStr">
        <is>
          <t>CLAUDE.md・README.md 内の merged.csv 参照を検索し新命名に置換</t>
        </is>
      </c>
      <c r="N61" s="7" t="inlineStr">
        <is>
          <t>merged.csv 命名整理に加えて、2026-05-29 の xlsx 化により merged_summit.xlsx の言及も追加対象。CLAUDE.md L63 他を更新。</t>
        </is>
      </c>
      <c r="O61" s="7" t="inlineStr"/>
      <c r="P61" s="7" t="inlineStr"/>
    </row>
    <row r="62" ht="40" customHeight="1">
      <c r="A62" s="6" t="inlineStr">
        <is>
          <t>ISSUE-061</t>
        </is>
      </c>
      <c r="B62" s="6" t="inlineStr">
        <is>
          <t>SRS merged.csv 命名整理（merged_peak.csv / merged_summit.csv 導入）</t>
        </is>
      </c>
      <c r="C62" s="6"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6" t="inlineStr">
        <is>
          <t>改善</t>
        </is>
      </c>
      <c r="E62" s="3" t="inlineStr">
        <is>
          <t>高</t>
        </is>
      </c>
      <c r="F62" s="6" t="inlineStr">
        <is>
          <t>merge.py</t>
        </is>
      </c>
      <c r="G62" s="6" t="inlineStr"/>
      <c r="H62" s="6" t="inlineStr">
        <is>
          <t>2026-05-29</t>
        </is>
      </c>
      <c r="I62" s="6" t="inlineStr">
        <is>
          <t>SRS</t>
        </is>
      </c>
      <c r="J62" s="6" t="inlineStr"/>
      <c r="K62" s="6" t="inlineStr">
        <is>
          <t>対応完了</t>
        </is>
      </c>
      <c r="L62" s="6" t="inlineStr"/>
      <c r="M62" s="6" t="inlineStr">
        <is>
          <t>docs/02_SRS.md を改訂。§3.3 俯瞰図・FR-008/FR-009/FR-014/FR-012 出力欄・§6 成果物一覧をすべて新命名に更新</t>
        </is>
      </c>
      <c r="N62" s="6" t="inlineStr"/>
      <c r="O62" s="6" t="inlineStr">
        <is>
          <t>2026-05-29</t>
        </is>
      </c>
      <c r="P62" s="6" t="inlineStr"/>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c r="J63" s="7" t="inlineStr"/>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c r="J64" s="6" t="inlineStr"/>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7" t="inlineStr">
        <is>
          <t>ISSUE-064</t>
        </is>
      </c>
      <c r="B65" s="7" t="inlineStr">
        <is>
          <t>パイプライン: gsi_tile_latest_date を merged.geojson.metadata に格納</t>
        </is>
      </c>
      <c r="C65" s="7" t="inlineStr"/>
      <c r="D65" s="7" t="inlineStr">
        <is>
          <t>改善</t>
        </is>
      </c>
      <c r="E65" s="3" t="inlineStr">
        <is>
          <t>高</t>
        </is>
      </c>
      <c r="F65" s="7" t="inlineStr">
        <is>
          <t>merge.py</t>
        </is>
      </c>
      <c r="G65" s="7" t="inlineStr"/>
      <c r="H65" s="7" t="inlineStr">
        <is>
          <t>2026-05-31</t>
        </is>
      </c>
      <c r="I65" s="7" t="inlineStr"/>
      <c r="J65" s="7" t="inlineStr"/>
      <c r="K65" s="7" t="inlineStr">
        <is>
          <t>未対応</t>
        </is>
      </c>
      <c r="L65" s="7" t="inlineStr"/>
      <c r="M65" s="7" t="inlineStr">
        <is>
          <t>scripts/merge.py または scripts/prefetch_tiles.py でキャッシュタイルの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7" t="inlineStr">
        <is>
          <t>フォーマット規定: YYYY-MM-DD 形式（UTC）。ビューア表示時は末尾に (UTC) を付記すること。SRS FR-019 に明記済み（2026-05-31 更新）</t>
        </is>
      </c>
      <c r="O65" s="7" t="inlineStr"/>
      <c r="P65" s="7" t="inlineStr"/>
    </row>
    <row r="66" ht="40" customHeight="1">
      <c r="A66" s="6" t="inlineStr">
        <is>
          <t>ISSUE-065</t>
        </is>
      </c>
      <c r="B66" s="6" t="inlineStr">
        <is>
          <t>モックアップ「変更あり」フィルターを is_band_change_candidate ベースに統一</t>
        </is>
      </c>
      <c r="C66" s="6" t="inlineStr"/>
      <c r="D66" s="6" t="inlineStr">
        <is>
          <t>改善</t>
        </is>
      </c>
      <c r="E66" s="5" t="inlineStr">
        <is>
          <t>低</t>
        </is>
      </c>
      <c r="F66" s="6" t="inlineStr">
        <is>
          <t>その他</t>
        </is>
      </c>
      <c r="G66" s="6" t="inlineStr"/>
      <c r="H66" s="6" t="inlineStr">
        <is>
          <t>2026-05-31</t>
        </is>
      </c>
      <c r="I66" s="6" t="inlineStr"/>
      <c r="J66" s="6" t="inlineStr"/>
      <c r="K66" s="6" t="inlineStr">
        <is>
          <t>未対応</t>
        </is>
      </c>
      <c r="L66" s="6" t="inlineStr"/>
      <c r="M66" s="6" t="inlineStr">
        <is>
          <t>viewer_mockup.html の「変更あり」フィルター判定を localStorage 保存ありから is_band_change_candidate=true ベースに変更する。SRS 定義（FR-012 / FR-021）との整合を取る。</t>
        </is>
      </c>
      <c r="N66" s="6" t="inlineStr"/>
      <c r="O66" s="6" t="inlineStr"/>
      <c r="P66" s="6" t="inlineStr"/>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c r="J67" s="7" t="inlineStr"/>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6" t="inlineStr">
        <is>
          <t>ISSUE-067</t>
        </is>
      </c>
      <c r="B68" s="6" t="inlineStr">
        <is>
          <t>国土地理院タイル出典表示の整備</t>
        </is>
      </c>
      <c r="C68" s="6" t="inlineStr"/>
      <c r="D68" s="6" t="inlineStr"/>
      <c r="E68" s="4" t="inlineStr">
        <is>
          <t>中</t>
        </is>
      </c>
      <c r="F68" s="6" t="inlineStr"/>
      <c r="G68" s="6" t="inlineStr"/>
      <c r="H68" s="6" t="inlineStr">
        <is>
          <t>2026-05-31</t>
        </is>
      </c>
      <c r="I68" s="6" t="inlineStr">
        <is>
          <t>SRS</t>
        </is>
      </c>
      <c r="J68" s="6" t="inlineStr"/>
      <c r="K68" s="6" t="inlineStr">
        <is>
          <t>対応完了</t>
        </is>
      </c>
      <c r="L68" s="6" t="inlineStr"/>
      <c r="M68" s="6" t="inlineStr"/>
      <c r="N68" s="6" t="inlineStr">
        <is>
          <t>UR-011 新設（URD）、FR-013/FR-012/FR-021 出典要件追加（SRS）、ADR-URD-014 作成済み。実装対象: README / output_geojson.py / merge.py / viewer_mockup.html XLSX出力。ADR-URD-014 参照: docs/decisions/ADR-URD-014-gsi-tile-attribution-policy.md</t>
        </is>
      </c>
      <c r="O68" s="6" t="inlineStr">
        <is>
          <t>2026-05-31</t>
        </is>
      </c>
      <c r="P68" s="6" t="inlineStr"/>
    </row>
    <row r="69" ht="40" customHeight="1">
      <c r="A69" s="7" t="inlineStr">
        <is>
          <t>ISSUE-068</t>
        </is>
      </c>
      <c r="B69" s="7" t="inlineStr">
        <is>
          <t>SRS パラメータ・引数の記述統一</t>
        </is>
      </c>
      <c r="C69" s="7"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7" t="inlineStr">
        <is>
          <t>改善</t>
        </is>
      </c>
      <c r="E69" s="4" t="inlineStr">
        <is>
          <t>中</t>
        </is>
      </c>
      <c r="F69" s="7" t="inlineStr">
        <is>
          <t>その他</t>
        </is>
      </c>
      <c r="G69" s="7" t="inlineStr"/>
      <c r="H69" s="7" t="inlineStr">
        <is>
          <t>2026-05-31</t>
        </is>
      </c>
      <c r="I69" s="7" t="inlineStr">
        <is>
          <t>SRS</t>
        </is>
      </c>
      <c r="J69" s="7" t="inlineStr">
        <is>
          <t>SRS</t>
        </is>
      </c>
      <c r="K69" s="7" t="inlineStr">
        <is>
          <t>対応完了</t>
        </is>
      </c>
      <c r="L69" s="7" t="inlineStr"/>
      <c r="M69" s="7" t="inlineStr">
        <is>
          <t>Phase A: ADR-SRS-014 起案 / Phase B: 02_SRS.md にデータ辞書セクション・テンプレ追加 / Phase C: 既存 FR を新テンプレへ移行（FR-004/008/001 で先行確認）/ Phase D: 00_GLOSSARY.md 同期</t>
        </is>
      </c>
      <c r="N69" s="7" t="inlineStr">
        <is>
          <t>計画ファイル: mgmt/plan.md（srs-nifty-tarjan）</t>
        </is>
      </c>
      <c r="O69" s="7" t="inlineStr">
        <is>
          <t>2026-05-31</t>
        </is>
      </c>
      <c r="P69" s="7" t="inlineStr"/>
    </row>
    <row r="70" ht="40" customHeight="1">
      <c r="A70" s="6" t="inlineStr">
        <is>
          <t>ISSUE-069</t>
        </is>
      </c>
      <c r="B70" s="6" t="inlineStr">
        <is>
          <t>SRS データ辞書の網羅性向上・FR 名称統一・ADR-SRS-014 規約 5 追加</t>
        </is>
      </c>
      <c r="C70" s="6" t="inlineStr"/>
      <c r="D70" s="6" t="inlineStr">
        <is>
          <t>改善</t>
        </is>
      </c>
      <c r="E70" s="3" t="inlineStr">
        <is>
          <t>高</t>
        </is>
      </c>
      <c r="F70" s="6" t="inlineStr"/>
      <c r="G70" s="6" t="inlineStr"/>
      <c r="H70" s="6" t="inlineStr">
        <is>
          <t>2026-06-01</t>
        </is>
      </c>
      <c r="I70" s="6" t="inlineStr">
        <is>
          <t>SRS</t>
        </is>
      </c>
      <c r="J70" s="6" t="inlineStr"/>
      <c r="K70" s="6" t="inlineStr">
        <is>
          <t>対応完了</t>
        </is>
      </c>
      <c r="L70" s="6" t="inlineStr"/>
      <c r="M70" s="6" t="inlineStr"/>
      <c r="N70" s="6" t="inlineStr">
        <is>
          <t>データ辞書(3.4→2.2)移動、中間データ登録、全21FR入出力テーブル辞書名統一、ADR-SRS-014規約5追加</t>
        </is>
      </c>
      <c r="O70" s="6" t="inlineStr">
        <is>
          <t>2026-06-01</t>
        </is>
      </c>
      <c r="P70" s="6" t="inlineStr"/>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HLD</t>
        </is>
      </c>
      <c r="J71" s="7" t="inlineStr"/>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HLD</t>
        </is>
      </c>
      <c r="J72" s="6" t="inlineStr"/>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HLD</t>
        </is>
      </c>
      <c r="J73" s="7" t="inlineStr"/>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HLD</t>
        </is>
      </c>
      <c r="J74" s="6" t="inlineStr"/>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c r="K75" s="7" t="inlineStr">
        <is>
          <t>未対応</t>
        </is>
      </c>
      <c r="L75" s="7" t="inlineStr"/>
      <c r="M75" s="7" t="inlineStr"/>
      <c r="N75" s="7" t="inlineStr"/>
      <c r="O75" s="7" t="inlineStr"/>
      <c r="P75" s="7" t="inlineStr"/>
    </row>
    <row r="76" ht="40" customHeight="1">
      <c r="A76" s="6" t="inlineStr">
        <is>
          <t>ISSUE-075</t>
        </is>
      </c>
      <c r="B76" s="6" t="inlineStr">
        <is>
          <t>FR-004/FR-014 責務分担変更 + ADR-SRS-004 更新</t>
        </is>
      </c>
      <c r="C76" s="6"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6" t="inlineStr">
        <is>
          <t>改善</t>
        </is>
      </c>
      <c r="E76" s="4" t="inlineStr">
        <is>
          <t>中</t>
        </is>
      </c>
      <c r="F76" s="6" t="inlineStr"/>
      <c r="G76" s="6" t="inlineStr"/>
      <c r="H76" s="6" t="inlineStr">
        <is>
          <t>2026-06-04</t>
        </is>
      </c>
      <c r="I76" s="6" t="inlineStr">
        <is>
          <t>SRS</t>
        </is>
      </c>
      <c r="J76" s="6" t="inlineStr"/>
      <c r="K76" s="6" t="inlineStr">
        <is>
          <t>未対応</t>
        </is>
      </c>
      <c r="L76" s="6" t="inlineStr"/>
      <c r="M76" s="6" t="inlineStr"/>
      <c r="N76" s="6" t="inlineStr"/>
      <c r="O76" s="6" t="inlineStr"/>
      <c r="P76" s="6" t="inlineStr"/>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c r="K77" s="7" t="inlineStr">
        <is>
          <t>未対応</t>
        </is>
      </c>
      <c r="L77" s="7" t="inlineStr"/>
      <c r="M77" s="7" t="inlineStr"/>
      <c r="N77" s="7" t="inlineStr"/>
      <c r="O77" s="7" t="inlineStr"/>
      <c r="P77" s="7" t="inlineStr"/>
    </row>
    <row r="78" ht="40" customHeight="1">
      <c r="A78" s="6" t="inlineStr">
        <is>
          <t>ISSUE-077</t>
        </is>
      </c>
      <c r="B78" s="6" t="inlineStr">
        <is>
          <t>外部I/F・ユーザ入力・内部データの三分類規約とSRS再編</t>
        </is>
      </c>
      <c r="C78" s="6" t="inlineStr"/>
      <c r="D78" s="6" t="inlineStr">
        <is>
          <t>設計</t>
        </is>
      </c>
      <c r="E78" s="3" t="inlineStr">
        <is>
          <t>高</t>
        </is>
      </c>
      <c r="F78" s="6" t="inlineStr"/>
      <c r="G78" s="6" t="inlineStr"/>
      <c r="H78" s="6" t="inlineStr">
        <is>
          <t>2026-06-05</t>
        </is>
      </c>
      <c r="I78" s="6" t="inlineStr">
        <is>
          <t>SRS</t>
        </is>
      </c>
      <c r="J78" s="6" t="inlineStr"/>
      <c r="K78" s="6" t="inlineStr">
        <is>
          <t>対応完了</t>
        </is>
      </c>
      <c r="L78" s="6" t="inlineStr"/>
      <c r="M78" s="6" t="inlineStr"/>
      <c r="N78" s="6" t="inlineStr">
        <is>
          <t>CLAUDE.md・GLOSSARY・SRS・ADR-SRS-016 を更新。2.2.2廃止→7.2、6.10/6.14/6.16/6.17移設、7→8/8→9/9→10リナンバリング</t>
        </is>
      </c>
      <c r="O78" s="6" t="inlineStr">
        <is>
          <t>2026-06-05</t>
        </is>
      </c>
      <c r="P78" s="6" t="inlineStr"/>
    </row>
    <row r="79" ht="40" customHeight="1">
      <c r="A79" s="7" t="inlineStr">
        <is>
          <t>ISSUE-078</t>
        </is>
      </c>
      <c r="B79" s="7" t="inlineStr">
        <is>
          <t>ADR-URD-005 北方領土除外タイル取り逃しリスクの実データ検証</t>
        </is>
      </c>
      <c r="C79" s="7"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7" t="inlineStr">
        <is>
          <t>調査</t>
        </is>
      </c>
      <c r="E79" s="3" t="inlineStr">
        <is>
          <t>高</t>
        </is>
      </c>
      <c r="F79" s="7" t="inlineStr">
        <is>
          <t>その他</t>
        </is>
      </c>
      <c r="G79" s="7" t="inlineStr"/>
      <c r="H79" s="7" t="inlineStr">
        <is>
          <t>2026-06-05</t>
        </is>
      </c>
      <c r="I79" s="7" t="inlineStr">
        <is>
          <t>URD</t>
        </is>
      </c>
      <c r="J79" s="7" t="inlineStr"/>
      <c r="K79" s="7" t="inlineStr">
        <is>
          <t>未対応</t>
        </is>
      </c>
      <c r="L79" s="7" t="inlineStr"/>
      <c r="M79" s="7" t="inlineStr"/>
      <c r="N79" s="7" t="inlineStr">
        <is>
          <t>FR-017 レビュー時にユーザーから「ADR-URD-005 の主張が疑わしい」との指摘あり。論理的には『取り逃しタイル ≒ 海岸線付近 ≒ 標高低 = サミット候補にならない』だが、実データ確認が必要。</t>
        </is>
      </c>
      <c r="O79" s="7" t="inlineStr"/>
      <c r="P79" s="7" t="inlineStr"/>
    </row>
    <row r="80" ht="40" customHeight="1">
      <c r="A80" s="6" t="inlineStr">
        <is>
          <t>ISSUE-079</t>
        </is>
      </c>
      <c r="B80" s="6" t="inlineStr">
        <is>
          <t>scripts/preprocess_pref_boundaries.py を FR-017 改訂版仕様に追従</t>
        </is>
      </c>
      <c r="C80" s="6"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6" t="inlineStr">
        <is>
          <t>改善</t>
        </is>
      </c>
      <c r="E80" s="3" t="inlineStr">
        <is>
          <t>高</t>
        </is>
      </c>
      <c r="F80" s="6" t="inlineStr">
        <is>
          <t>その他</t>
        </is>
      </c>
      <c r="G80" s="6" t="inlineStr"/>
      <c r="H80" s="6" t="inlineStr">
        <is>
          <t>2026-06-05</t>
        </is>
      </c>
      <c r="I80" s="6" t="inlineStr">
        <is>
          <t>COD</t>
        </is>
      </c>
      <c r="J80" s="6" t="inlineStr"/>
      <c r="K80" s="6" t="inlineStr">
        <is>
          <t>未対応</t>
        </is>
      </c>
      <c r="L80" s="6" t="inlineStr"/>
      <c r="M80" s="6" t="inlineStr"/>
      <c r="N80" s="6" t="inlineStr">
        <is>
          <t>SRS 確定（コミット予定）後に着手する。実装側 ISSUE。</t>
        </is>
      </c>
      <c r="O80" s="6" t="inlineStr"/>
      <c r="P80" s="6" t="inlineStr"/>
    </row>
  </sheetData>
  <dataValidations count="5">
    <dataValidation sqref="K2:K80" showDropDown="0" showInputMessage="0" showErrorMessage="0" allowBlank="1" type="list">
      <formula1>"未対応,対応中,対応完了,解決済,却下"</formula1>
    </dataValidation>
    <dataValidation sqref="E2:E80" showDropDown="0" showInputMessage="0" showErrorMessage="0" allowBlank="1" type="list">
      <formula1>"高,中,低"</formula1>
    </dataValidation>
    <dataValidation sqref="D2:D80" showDropDown="0" showInputMessage="0" showErrorMessage="0" allowBlank="1" type="list">
      <formula1>"機能追加,改善,調査,設計"</formula1>
    </dataValidation>
    <dataValidation sqref="I2:I80" showDropDown="0" showInputMessage="0" showErrorMessage="0" allowBlank="1" type="list">
      <formula1>"URD,SRS,HLD,LLD,COD,UT,IT,ST,OPS"</formula1>
    </dataValidation>
    <dataValidation sqref="J2:J80"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79</v>
      </c>
    </row>
    <row r="3">
      <c r="A3" s="10" t="inlineStr">
        <is>
          <t>未解決件数</t>
        </is>
      </c>
      <c r="B3" s="11" t="n">
        <v>45</v>
      </c>
    </row>
    <row r="4">
      <c r="A4" s="10" t="inlineStr">
        <is>
          <t>解決済件数</t>
        </is>
      </c>
      <c r="B4" s="11" t="n">
        <v>28</v>
      </c>
    </row>
    <row r="5">
      <c r="A5" s="10" t="inlineStr">
        <is>
          <t>解決率</t>
        </is>
      </c>
      <c r="B5" s="11" t="inlineStr">
        <is>
          <t>35.4%</t>
        </is>
      </c>
    </row>
    <row r="7">
      <c r="A7" s="8" t="inlineStr">
        <is>
          <t>ステータス別</t>
        </is>
      </c>
      <c r="B7" s="9" t="n"/>
    </row>
    <row r="8">
      <c r="A8" s="10" t="inlineStr">
        <is>
          <t>未対応</t>
        </is>
      </c>
      <c r="B8" s="11" t="n">
        <v>34</v>
      </c>
    </row>
    <row r="9">
      <c r="A9" s="10" t="inlineStr">
        <is>
          <t>対応中</t>
        </is>
      </c>
      <c r="B9" s="11" t="n">
        <v>0</v>
      </c>
    </row>
    <row r="10">
      <c r="A10" s="10" t="inlineStr">
        <is>
          <t>対応完了</t>
        </is>
      </c>
      <c r="B10" s="11" t="n">
        <v>11</v>
      </c>
    </row>
    <row r="11">
      <c r="A11" s="10" t="inlineStr">
        <is>
          <t>解決済</t>
        </is>
      </c>
      <c r="B11" s="11" t="n">
        <v>28</v>
      </c>
    </row>
    <row r="12">
      <c r="A12" s="10" t="inlineStr">
        <is>
          <t>却下</t>
        </is>
      </c>
      <c r="B12" s="11" t="n">
        <v>6</v>
      </c>
    </row>
    <row r="14">
      <c r="A14" s="8" t="inlineStr">
        <is>
          <t>優先度別（未解決）</t>
        </is>
      </c>
      <c r="B14" s="9" t="n"/>
    </row>
    <row r="15">
      <c r="A15" s="10" t="inlineStr">
        <is>
          <t>高</t>
        </is>
      </c>
      <c r="B15" s="11" t="n">
        <v>20</v>
      </c>
    </row>
    <row r="16">
      <c r="A16" s="10" t="inlineStr">
        <is>
          <t>中</t>
        </is>
      </c>
      <c r="B16" s="11" t="n">
        <v>18</v>
      </c>
    </row>
    <row r="17">
      <c r="A17" s="10" t="inlineStr">
        <is>
          <t>低</t>
        </is>
      </c>
      <c r="B17" s="11" t="n">
        <v>7</v>
      </c>
    </row>
    <row r="19">
      <c r="A19" s="8" t="inlineStr">
        <is>
          <t>種別別（未解決）</t>
        </is>
      </c>
      <c r="B19" s="9" t="n"/>
    </row>
    <row r="20">
      <c r="A20" s="10" t="inlineStr">
        <is>
          <t>機能追加</t>
        </is>
      </c>
      <c r="B20" s="11" t="n">
        <v>10</v>
      </c>
    </row>
    <row r="21">
      <c r="A21" s="10" t="inlineStr">
        <is>
          <t>改善</t>
        </is>
      </c>
      <c r="B21" s="11" t="n">
        <v>29</v>
      </c>
    </row>
    <row r="22">
      <c r="A22" s="10" t="inlineStr">
        <is>
          <t>調査</t>
        </is>
      </c>
      <c r="B22" s="11" t="n">
        <v>2</v>
      </c>
    </row>
    <row r="23">
      <c r="A23" s="10" t="inlineStr">
        <is>
          <t>設計</t>
        </is>
      </c>
      <c r="B23" s="11" t="n">
        <v>2</v>
      </c>
    </row>
    <row r="25">
      <c r="A25" s="8" t="inlineStr">
        <is>
          <t>カテゴリ別（未解決）</t>
        </is>
      </c>
      <c r="B25" s="9" t="n"/>
    </row>
    <row r="26">
      <c r="A26" s="10" t="inlineStr">
        <is>
          <t>解析エンジン</t>
        </is>
      </c>
      <c r="B26" s="11" t="n">
        <v>5</v>
      </c>
    </row>
    <row r="27">
      <c r="A27" s="10" t="inlineStr">
        <is>
          <t>merge.py</t>
        </is>
      </c>
      <c r="B27" s="11" t="n">
        <v>6</v>
      </c>
    </row>
    <row r="28">
      <c r="A28" s="10" t="inlineStr">
        <is>
          <t>GeoJSON出力</t>
        </is>
      </c>
      <c r="B28" s="11" t="n">
        <v>3</v>
      </c>
    </row>
    <row r="29">
      <c r="A29" s="10" t="inlineStr">
        <is>
          <t>設定</t>
        </is>
      </c>
      <c r="B29" s="11" t="n">
        <v>1</v>
      </c>
    </row>
    <row r="30">
      <c r="A30" s="10" t="inlineStr">
        <is>
          <t>その他</t>
        </is>
      </c>
      <c r="B30" s="11" t="n">
        <v>12</v>
      </c>
    </row>
    <row r="32">
      <c r="A32" s="8" t="inlineStr">
        <is>
          <t>ステージ別（未解決）</t>
        </is>
      </c>
      <c r="B32" s="9" t="n"/>
    </row>
    <row r="33">
      <c r="A33" s="10" t="inlineStr">
        <is>
          <t>URD</t>
        </is>
      </c>
      <c r="B33" s="11" t="n">
        <v>2</v>
      </c>
    </row>
    <row r="34">
      <c r="A34" s="10" t="inlineStr">
        <is>
          <t>SRS</t>
        </is>
      </c>
      <c r="B34" s="11" t="n">
        <v>26</v>
      </c>
    </row>
    <row r="35">
      <c r="A35" s="10" t="inlineStr">
        <is>
          <t>HLD</t>
        </is>
      </c>
      <c r="B35" s="11" t="n">
        <v>5</v>
      </c>
    </row>
    <row r="36">
      <c r="A36" s="10" t="inlineStr">
        <is>
          <t>COD</t>
        </is>
      </c>
      <c r="B36" s="11" t="n">
        <v>6</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34</v>
      </c>
    </row>
    <row r="29">
      <c r="A29" t="inlineStr">
        <is>
          <t>2026-05-24</t>
        </is>
      </c>
      <c r="B29" t="n">
        <v>55</v>
      </c>
      <c r="C29" t="n">
        <v>35</v>
      </c>
      <c r="D29" t="n">
        <v>34</v>
      </c>
    </row>
    <row r="30">
      <c r="A30" t="inlineStr">
        <is>
          <t>2026-05-25</t>
        </is>
      </c>
      <c r="B30" t="n">
        <v>56</v>
      </c>
      <c r="C30" t="n">
        <v>35</v>
      </c>
      <c r="D30" t="n">
        <v>34</v>
      </c>
    </row>
    <row r="31">
      <c r="A31" t="inlineStr">
        <is>
          <t>2026-05-26</t>
        </is>
      </c>
      <c r="B31" t="n">
        <v>56</v>
      </c>
      <c r="C31" t="n">
        <v>35</v>
      </c>
      <c r="D31" t="n">
        <v>34</v>
      </c>
    </row>
    <row r="32">
      <c r="A32" t="inlineStr">
        <is>
          <t>2026-05-27</t>
        </is>
      </c>
      <c r="B32" t="n">
        <v>56</v>
      </c>
      <c r="C32" t="n">
        <v>35</v>
      </c>
      <c r="D32" t="n">
        <v>34</v>
      </c>
    </row>
    <row r="33">
      <c r="A33" t="inlineStr">
        <is>
          <t>2026-05-28</t>
        </is>
      </c>
      <c r="B33" t="n">
        <v>56</v>
      </c>
      <c r="C33" t="n">
        <v>36</v>
      </c>
      <c r="D33" t="n">
        <v>34</v>
      </c>
    </row>
    <row r="34">
      <c r="A34" t="inlineStr">
        <is>
          <t>2026-05-29</t>
        </is>
      </c>
      <c r="B34" t="n">
        <v>62</v>
      </c>
      <c r="C34" t="n">
        <v>39</v>
      </c>
      <c r="D34" t="n">
        <v>34</v>
      </c>
    </row>
    <row r="35">
      <c r="A35" t="inlineStr">
        <is>
          <t>2026-05-30</t>
        </is>
      </c>
      <c r="B35" t="n">
        <v>62</v>
      </c>
      <c r="C35" t="n">
        <v>39</v>
      </c>
      <c r="D35" t="n">
        <v>34</v>
      </c>
    </row>
    <row r="36">
      <c r="A36" t="inlineStr">
        <is>
          <t>2026-05-31</t>
        </is>
      </c>
      <c r="B36" t="n">
        <v>68</v>
      </c>
      <c r="C36" t="n">
        <v>41</v>
      </c>
      <c r="D36" t="n">
        <v>34</v>
      </c>
    </row>
    <row r="37">
      <c r="A37" t="inlineStr">
        <is>
          <t>2026-06-01</t>
        </is>
      </c>
      <c r="B37" t="n">
        <v>69</v>
      </c>
      <c r="C37" t="n">
        <v>42</v>
      </c>
      <c r="D37" t="n">
        <v>34</v>
      </c>
    </row>
    <row r="38">
      <c r="A38" t="inlineStr">
        <is>
          <t>2026-06-02</t>
        </is>
      </c>
      <c r="B38" t="n">
        <v>73</v>
      </c>
      <c r="C38" t="n">
        <v>42</v>
      </c>
      <c r="D38" t="n">
        <v>34</v>
      </c>
    </row>
    <row r="39">
      <c r="A39" t="inlineStr">
        <is>
          <t>2026-06-03</t>
        </is>
      </c>
      <c r="B39" t="n">
        <v>73</v>
      </c>
      <c r="C39" t="n">
        <v>42</v>
      </c>
      <c r="D39" t="n">
        <v>34</v>
      </c>
    </row>
    <row r="40">
      <c r="A40" t="inlineStr">
        <is>
          <t>2026-06-04</t>
        </is>
      </c>
      <c r="B40" t="n">
        <v>76</v>
      </c>
      <c r="C40" t="n">
        <v>42</v>
      </c>
      <c r="D40" t="n">
        <v>34</v>
      </c>
    </row>
    <row r="41">
      <c r="A41" t="inlineStr">
        <is>
          <t>2026-06-05</t>
        </is>
      </c>
      <c r="B41" t="n">
        <v>79</v>
      </c>
      <c r="C41" t="n">
        <v>43</v>
      </c>
      <c r="D41" t="n">
        <v>34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2026-06-05T09:40:09Z</dcterms:created>
  <dcterms:modified xsi:type="dcterms:W3CDTF">2026-06-05T09:40:09Z</dcterms:modified>
</cp:coreProperties>
</file>