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'収束グラフ'!$A$2:$A$59</f>
            </strRef>
          </cat>
          <val>
            <numRef>
              <f>'収束グラフ'!$B$2:$B$59</f>
            </numRef>
          </val>
        </ser>
        <ser>
          <idx val="1"/>
          <order val="1"/>
          <tx>
            <strRef>
              <f>'収束グラフ'!C1</f>
            </strRef>
          </tx>
          <spPr>
            <a:ln w="20000">
              <a:solidFill>
                <a:srgbClr val="4472C4"/>
              </a:solidFill>
              <a:prstDash val="solid"/>
            </a:ln>
          </spPr>
          <marker>
            <symbol val="none"/>
            <spPr>
              <a:ln>
                <a:prstDash val="solid"/>
              </a:ln>
            </spPr>
          </marker>
          <cat>
            <strRef>
              <f>'収束グラフ'!$A$2:$A$59</f>
            </strRef>
          </cat>
          <val>
            <numRef>
              <f>'収束グラフ'!$C$2:$C$59</f>
            </numRef>
          </val>
        </ser>
        <ser>
          <idx val="2"/>
          <order val="2"/>
          <tx>
            <strRef>
              <f>'収束グラフ'!D1</f>
            </strRef>
          </tx>
          <spPr>
            <a:ln w="20000">
              <a:solidFill>
                <a:srgbClr val="70AD47"/>
              </a:solidFill>
              <a:prstDash val="solid"/>
            </a:ln>
          </spPr>
          <marker>
            <symbol val="none"/>
            <spPr>
              <a:ln>
                <a:prstDash val="solid"/>
              </a:ln>
            </spPr>
          </marker>
          <cat>
            <strRef>
              <f>'収束グラフ'!$A$2:$A$59</f>
            </strRef>
          </cat>
          <val>
            <numRef>
              <f>'収束グラフ'!$D$2:$D$59</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調査</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改善</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設計</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設計</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2" t="inlineStr">
        <is>
          <t>ISSUE-062</t>
        </is>
      </c>
      <c r="B63" s="2" t="inlineStr">
        <is>
          <t>FR-012 実装: merged_summit_revised.xlsx 生成スクリプト新規開発</t>
        </is>
      </c>
      <c r="C63" s="2"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2" t="inlineStr">
        <is>
          <t>機能追加</t>
        </is>
      </c>
      <c r="E63" s="3" t="inlineStr">
        <is>
          <t>高</t>
        </is>
      </c>
      <c r="F63" s="2" t="inlineStr">
        <is>
          <t>GeoJSON出力</t>
        </is>
      </c>
      <c r="G63" s="2" t="inlineStr"/>
      <c r="H63" s="2" t="inlineStr">
        <is>
          <t>2026-05-29</t>
        </is>
      </c>
      <c r="I63" s="2" t="inlineStr">
        <is>
          <t>SRS</t>
        </is>
      </c>
      <c r="J63" s="2" t="inlineStr">
        <is>
          <t>HLD</t>
        </is>
      </c>
      <c r="K63" s="2" t="inlineStr">
        <is>
          <t>解決済</t>
        </is>
      </c>
      <c r="L63" s="2" t="inlineStr"/>
      <c r="M63" s="2"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2"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2" t="inlineStr">
        <is>
          <t>2026-06-21</t>
        </is>
      </c>
      <c r="P63" s="2" t="inlineStr">
        <is>
          <t>2026-06-23</t>
        </is>
      </c>
    </row>
    <row r="64" ht="40" customHeight="1">
      <c r="A64" s="2" t="inlineStr">
        <is>
          <t>ISSUE-063</t>
        </is>
      </c>
      <c r="B64" s="2" t="inlineStr">
        <is>
          <t>FR-021 実装: 申請エビデンス ZIP 生成（ブラウザ内）</t>
        </is>
      </c>
      <c r="C64" s="2" t="inlineStr"/>
      <c r="D64" s="2" t="inlineStr">
        <is>
          <t>機能追加</t>
        </is>
      </c>
      <c r="E64" s="3" t="inlineStr">
        <is>
          <t>高</t>
        </is>
      </c>
      <c r="F64" s="2" t="inlineStr">
        <is>
          <t>GeoJSON出力</t>
        </is>
      </c>
      <c r="G64" s="2" t="inlineStr"/>
      <c r="H64" s="2" t="inlineStr">
        <is>
          <t>2026-05-31</t>
        </is>
      </c>
      <c r="I64" s="2" t="inlineStr">
        <is>
          <t>SRS</t>
        </is>
      </c>
      <c r="J64" s="2" t="inlineStr">
        <is>
          <t>HLD</t>
        </is>
      </c>
      <c r="K64" s="2" t="inlineStr">
        <is>
          <t>解決済</t>
        </is>
      </c>
      <c r="L64" s="2" t="inlineStr"/>
      <c r="M64" s="2"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2" t="inlineStr"/>
      <c r="O64" s="2" t="inlineStr">
        <is>
          <t>2026-06-21</t>
        </is>
      </c>
      <c r="P64" s="2" t="inlineStr">
        <is>
          <t>2026-06-23</t>
        </is>
      </c>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2" t="inlineStr">
        <is>
          <t>ISSUE-066</t>
        </is>
      </c>
      <c r="B67" s="2" t="inlineStr">
        <is>
          <t>FR-019 検索機能実装: 実 GeoJSON データでの動作確認と本実装</t>
        </is>
      </c>
      <c r="C67" s="2" t="inlineStr">
        <is>
          <t>モックアップで実装した検索機能（サミットコード/山岳名(和英)/緯度経度の部分一致検索・サジェスト・flyTo+ポップアップ）を、本実装フェーズで実 GeoJSON データに対して再現・検証する</t>
        </is>
      </c>
      <c r="D67" s="2" t="inlineStr">
        <is>
          <t>機能追加</t>
        </is>
      </c>
      <c r="E67" s="4" t="inlineStr">
        <is>
          <t>中</t>
        </is>
      </c>
      <c r="F67" s="2" t="inlineStr">
        <is>
          <t>その他</t>
        </is>
      </c>
      <c r="G67" s="2" t="inlineStr"/>
      <c r="H67" s="2" t="inlineStr">
        <is>
          <t>2026-05-31</t>
        </is>
      </c>
      <c r="I67" s="2" t="inlineStr">
        <is>
          <t>SRS</t>
        </is>
      </c>
      <c r="J67" s="2" t="inlineStr">
        <is>
          <t>HLD</t>
        </is>
      </c>
      <c r="K67" s="2" t="inlineStr">
        <is>
          <t>解決済</t>
        </is>
      </c>
      <c r="L67" s="2" t="inlineStr"/>
      <c r="M67" s="2" t="inlineStr"/>
      <c r="N67" s="2" t="inlineStr">
        <is>
          <t>SRS FR-019 に検索機能要件を記載済み（2026-05-31）。検索対象プロパティ: summit_code / summit_name_jp / summit_name。モックアップ実装はdocs/mockup/viewer_mockup.html を参照</t>
        </is>
      </c>
      <c r="O67" s="2" t="inlineStr">
        <is>
          <t>2026-06-21</t>
        </is>
      </c>
      <c r="P67" s="2" t="inlineStr">
        <is>
          <t>2026-06-23</t>
        </is>
      </c>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設計</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設計</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2" t="inlineStr">
        <is>
          <t>ISSUE-108</t>
        </is>
      </c>
      <c r="B108" s="2" t="inlineStr">
        <is>
          <t>FR-022 純化・FR-023 解析パイプライン制御新設（SRS反映完了）</t>
        </is>
      </c>
      <c r="C108" s="2"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2" t="inlineStr">
        <is>
          <t>設計</t>
        </is>
      </c>
      <c r="E108" s="3" t="inlineStr">
        <is>
          <t>高</t>
        </is>
      </c>
      <c r="F108" s="2" t="inlineStr">
        <is>
          <t>merge.py</t>
        </is>
      </c>
      <c r="G108" s="2" t="inlineStr"/>
      <c r="H108" s="2" t="inlineStr">
        <is>
          <t>2026-06-18</t>
        </is>
      </c>
      <c r="I108" s="2" t="inlineStr">
        <is>
          <t>SRS</t>
        </is>
      </c>
      <c r="J108" s="2" t="inlineStr"/>
      <c r="K108" s="2" t="inlineStr">
        <is>
          <t>解決済</t>
        </is>
      </c>
      <c r="L108" s="2" t="inlineStr"/>
      <c r="M108" s="2" t="inlineStr">
        <is>
          <t>ADR-SRS-027・SRS §4.3 新設FR-023・FR-022大幅縮小・FR-014入力変更として反映完了（2026-06-18）。コード追従はtodo.md管理。</t>
        </is>
      </c>
      <c r="N108" s="2" t="inlineStr"/>
      <c r="O108" s="2" t="inlineStr">
        <is>
          <t>2026-06-18</t>
        </is>
      </c>
      <c r="P108" s="2" t="inlineStr">
        <is>
          <t>2026-06-23</t>
        </is>
      </c>
    </row>
    <row r="109" ht="40" customHeight="1">
      <c r="A109" s="2" t="inlineStr">
        <is>
          <t>ISSUE-109</t>
        </is>
      </c>
      <c r="B109" s="2" t="inlineStr">
        <is>
          <t>陸地最高峰海面確定を FR-022→FR-008 に移管（案B、SRS反映完了）</t>
        </is>
      </c>
      <c r="C109" s="2"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2" t="inlineStr">
        <is>
          <t>設計</t>
        </is>
      </c>
      <c r="E109" s="3" t="inlineStr">
        <is>
          <t>高</t>
        </is>
      </c>
      <c r="F109" s="2" t="inlineStr">
        <is>
          <t>merge.py</t>
        </is>
      </c>
      <c r="G109" s="2" t="inlineStr"/>
      <c r="H109" s="2" t="inlineStr">
        <is>
          <t>2026-06-18</t>
        </is>
      </c>
      <c r="I109" s="2" t="inlineStr">
        <is>
          <t>SRS</t>
        </is>
      </c>
      <c r="J109" s="2" t="inlineStr"/>
      <c r="K109" s="2" t="inlineStr">
        <is>
          <t>解決済</t>
        </is>
      </c>
      <c r="L109" s="2" t="inlineStr"/>
      <c r="M109" s="2" t="inlineStr">
        <is>
          <t>ADR-SRS-027・ADR-SRS-019改訂・SRS FR-008入力追加・7.1.4削除・7.2追加として反映完了（2026-06-18）。コード追従はtodo.md管理。</t>
        </is>
      </c>
      <c r="N109" s="2" t="inlineStr"/>
      <c r="O109" s="2" t="inlineStr">
        <is>
          <t>2026-06-18</t>
        </is>
      </c>
      <c r="P109" s="2" t="inlineStr">
        <is>
          <t>2026-06-23</t>
        </is>
      </c>
    </row>
    <row r="110" ht="40" customHeight="1">
      <c r="A110" s="2" t="inlineStr">
        <is>
          <t>ISSUE-110</t>
        </is>
      </c>
      <c r="B110" s="2" t="inlineStr">
        <is>
          <t>フェーズ番号統一（フェーズ2-1/2-2→フェーズ2/3、SRS反映完了）</t>
        </is>
      </c>
      <c r="C110" s="2"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2" t="inlineStr">
        <is>
          <t>改善</t>
        </is>
      </c>
      <c r="E110" s="4" t="inlineStr">
        <is>
          <t>中</t>
        </is>
      </c>
      <c r="F110" s="2" t="inlineStr">
        <is>
          <t>その他</t>
        </is>
      </c>
      <c r="G110" s="2" t="inlineStr"/>
      <c r="H110" s="2" t="inlineStr">
        <is>
          <t>2026-06-18</t>
        </is>
      </c>
      <c r="I110" s="2" t="inlineStr">
        <is>
          <t>SRS</t>
        </is>
      </c>
      <c r="J110" s="2" t="inlineStr"/>
      <c r="K110" s="2" t="inlineStr">
        <is>
          <t>解決済</t>
        </is>
      </c>
      <c r="L110" s="2" t="inlineStr"/>
      <c r="M110" s="2" t="inlineStr">
        <is>
          <t>SRS全体のフェーズ表記を統一。旧フェーズ2-1→フェーズ2、旧フェーズ2-2→フェーズ3、旧フェーズ3（統合）→統合時(FR-008)。反映完了（2026-06-18）。</t>
        </is>
      </c>
      <c r="N110" s="2" t="inlineStr"/>
      <c r="O110" s="2" t="inlineStr">
        <is>
          <t>2026-06-18</t>
        </is>
      </c>
      <c r="P110" s="2" t="inlineStr">
        <is>
          <t>2026-06-23</t>
        </is>
      </c>
    </row>
    <row r="111" ht="40" customHeight="1">
      <c r="A111" s="2" t="inlineStr">
        <is>
          <t>ISSUE-111</t>
        </is>
      </c>
      <c r="B111" s="2" t="inlineStr">
        <is>
          <t>全国一括突合の確定・FR-010 削除・範囲外/DEM 無効フラグ廃止</t>
        </is>
      </c>
      <c r="C111" s="2" t="inlineStr">
        <is>
          <t>FR-009 設計レビューで、部分解析前提の機構（FR-010・メッシュリスト入力・is_out_of_range_summit・is_dem_invalid_summit）が全国一括運用では不要と判明。ユーザー確認を経て全国一括突合を運用前提に確定し、不要機構を削除。ADR-SRS-028 に決定を記録。SRS に反映済み。</t>
        </is>
      </c>
      <c r="D111" s="2" t="inlineStr">
        <is>
          <t>設計</t>
        </is>
      </c>
      <c r="E111" s="4" t="inlineStr">
        <is>
          <t>中</t>
        </is>
      </c>
      <c r="F111" s="2" t="inlineStr"/>
      <c r="G111" s="2" t="inlineStr">
        <is>
          <t>Opus</t>
        </is>
      </c>
      <c r="H111" s="2" t="inlineStr">
        <is>
          <t>2026-06-18</t>
        </is>
      </c>
      <c r="I111" s="2" t="inlineStr">
        <is>
          <t>SRS</t>
        </is>
      </c>
      <c r="J111" s="2" t="inlineStr"/>
      <c r="K111" s="2" t="inlineStr">
        <is>
          <t>解決済</t>
        </is>
      </c>
      <c r="L111" s="2" t="inlineStr">
        <is>
          <t>Opus</t>
        </is>
      </c>
      <c r="M111" s="2" t="inlineStr">
        <is>
          <t>全国一括突合を運用前提に確定（ADR-SRS-028）。FR-010 削除・FR-009 メッシュリスト入力削除・is_out_of_range_summit/is_dem_invalid_summit 削除を SRS に反映。残る不備フラグは is_unmatched_summit/is_area_incomplete/is_key_col_unresolved の 3 つに限定。</t>
        </is>
      </c>
      <c r="N111" s="2" t="inlineStr"/>
      <c r="O111" s="2" t="inlineStr"/>
      <c r="P111" s="2" t="inlineStr">
        <is>
          <t>2026-06-23</t>
        </is>
      </c>
    </row>
    <row r="112" ht="40" customHeight="1">
      <c r="A112" s="2" t="inlineStr">
        <is>
          <t>ISSUE-112</t>
        </is>
      </c>
      <c r="B112" s="2" t="inlineStr">
        <is>
          <t>FR-009 異常終了フローの一本化（全判定後にまとめて検査）</t>
        </is>
      </c>
      <c r="C112" s="2" t="inlineStr">
        <is>
          <t>FR-009 の異常終了制御が「1件見つかった時点で即時停止」と「全判定後にまとめて検査」の 2 通りが混在していた。全判定後にまとめて検査する方式に一本化し、SRS に反映済み（ADR-SRS-028 の Consequences に含む）。</t>
        </is>
      </c>
      <c r="D112" s="2" t="inlineStr">
        <is>
          <t>設計</t>
        </is>
      </c>
      <c r="E112" s="4" t="inlineStr">
        <is>
          <t>中</t>
        </is>
      </c>
      <c r="F112" s="2" t="inlineStr"/>
      <c r="G112" s="2" t="inlineStr">
        <is>
          <t>Opus</t>
        </is>
      </c>
      <c r="H112" s="2" t="inlineStr">
        <is>
          <t>2026-06-18</t>
        </is>
      </c>
      <c r="I112" s="2" t="inlineStr">
        <is>
          <t>SRS</t>
        </is>
      </c>
      <c r="J112" s="2" t="inlineStr"/>
      <c r="K112" s="2" t="inlineStr">
        <is>
          <t>解決済</t>
        </is>
      </c>
      <c r="L112" s="2" t="inlineStr">
        <is>
          <t>Opus</t>
        </is>
      </c>
      <c r="M112" s="2" t="inlineStr">
        <is>
          <t>全サミット評価完了後に不備フラグを一括検査し、いずれか true なら必ず出力してから停止する方式に統一。SRS FR-009 の異常終了制御セクションを更新済み。</t>
        </is>
      </c>
      <c r="N112" s="2" t="inlineStr"/>
      <c r="O112" s="2" t="inlineStr"/>
      <c r="P112" s="2" t="inlineStr">
        <is>
          <t>2026-06-23</t>
        </is>
      </c>
    </row>
    <row r="113" ht="40" customHeight="1">
      <c r="A113" s="2" t="inlineStr">
        <is>
          <t>ISSUE-113</t>
        </is>
      </c>
      <c r="B113" s="2" t="inlineStr">
        <is>
          <t>GeoJSON ファイル名を CSV と同 basename に統一（_activation 廃止）</t>
        </is>
      </c>
      <c r="C113" s="2" t="inlineStr">
        <is>
          <t>ADR-SRS-026 により中間 GeoJSON が多目的ファイルになったため _activation という名称が実態より狭くなった。CSV との basename 不揃いも問題。3-&lt;meshcode&gt;_activation.geojson → 3-&lt;meshcode&gt;.geojson、merged_activation.geojson → merged_peak.geojson に変更。ADR-SRS-029 に決定を記録。SRS・URD・関連 ADR すべて反映済み。</t>
        </is>
      </c>
      <c r="D113" s="2" t="inlineStr">
        <is>
          <t>設計</t>
        </is>
      </c>
      <c r="E113" s="4" t="inlineStr">
        <is>
          <t>中</t>
        </is>
      </c>
      <c r="F113" s="2" t="inlineStr"/>
      <c r="G113" s="2" t="inlineStr">
        <is>
          <t>Opus</t>
        </is>
      </c>
      <c r="H113" s="2" t="inlineStr">
        <is>
          <t>2026-06-18</t>
        </is>
      </c>
      <c r="I113" s="2" t="inlineStr">
        <is>
          <t>SRS</t>
        </is>
      </c>
      <c r="J113" s="2" t="inlineStr"/>
      <c r="K113" s="2" t="inlineStr">
        <is>
          <t>解決済</t>
        </is>
      </c>
      <c r="L113" s="2" t="inlineStr">
        <is>
          <t>Opus</t>
        </is>
      </c>
      <c r="M113" s="2" t="inlineStr">
        <is>
          <t>per-mesh: 3-&lt;meshcode&gt;_activation.geojson → 3-&lt;meshcode&gt;.geojson、merged: merged_activation.geojson → merged_peak.geojson。和名も更新（per-mesh アクティベーションゾーン GeoJSON → per-mesh ピーク候補 GeoJSON、統合済みピーク域 GeoJSON → 統合ピーク候補 GeoJSON）。feature_type 値（activation_zone/delete_zone）は据え置き（ADR-SRS-029）。</t>
        </is>
      </c>
      <c r="N113" s="2" t="inlineStr"/>
      <c r="O113" s="2" t="inlineStr"/>
      <c r="P113" s="2" t="inlineStr">
        <is>
          <t>2026-06-23</t>
        </is>
      </c>
    </row>
    <row r="114" ht="40" customHeight="1">
      <c r="A114" s="2" t="inlineStr">
        <is>
          <t>ISSUE-114</t>
        </is>
      </c>
      <c r="B114" s="2" t="inlineStr">
        <is>
          <t>FR-009中心成果物GeoJSONのリネーム・和名整理（merged.geojson → merged_summit.geojson）</t>
        </is>
      </c>
      <c r="C114" s="2" t="inlineStr">
        <is>
          <t>FR-009の中心成果物merged.geojsonの和名「統合ピーク候補」が中間ファイルmerged_peak.geojson（和名「統合ピーク候補 GeoJSON」）と重複しており、FR-009の概念（ピーク中心→サミット中心の節目）とも乖離。ファイル名をmerged_summit.geojsonへ変更し、和名を「突合済み統合 GeoJSON」へ整理する。</t>
        </is>
      </c>
      <c r="D114" s="2" t="inlineStr">
        <is>
          <t>改善</t>
        </is>
      </c>
      <c r="E114" s="4" t="inlineStr">
        <is>
          <t>中</t>
        </is>
      </c>
      <c r="F114" s="2" t="inlineStr">
        <is>
          <t>GeoJSON出力</t>
        </is>
      </c>
      <c r="G114" s="2" t="inlineStr">
        <is>
          <t>Sonnet</t>
        </is>
      </c>
      <c r="H114" s="2" t="inlineStr">
        <is>
          <t>2026-06-18</t>
        </is>
      </c>
      <c r="I114" s="2" t="inlineStr">
        <is>
          <t>SRS</t>
        </is>
      </c>
      <c r="J114" s="2" t="inlineStr">
        <is>
          <t>SRS</t>
        </is>
      </c>
      <c r="K114" s="2" t="inlineStr">
        <is>
          <t>解決済</t>
        </is>
      </c>
      <c r="L114" s="2" t="inlineStr">
        <is>
          <t>Sonnet</t>
        </is>
      </c>
      <c r="M114" s="2" t="inlineStr">
        <is>
          <t>ファイル名をmerged_summit.geojsonに変更（merged_summit.xlsxとペア）。和名を「突合済み統合 GeoJSON」に統一。ADR-SRS-030作成・SRS本文反映・関連ADR整合更新で対応。</t>
        </is>
      </c>
      <c r="N114" s="2" t="inlineStr"/>
      <c r="O114" s="2" t="inlineStr"/>
      <c r="P114" s="2" t="inlineStr">
        <is>
          <t>2026-06-23</t>
        </is>
      </c>
    </row>
    <row r="115" ht="40" customHeight="1">
      <c r="A115" s="2" t="inlineStr">
        <is>
          <t>ISSUE-115</t>
        </is>
      </c>
      <c r="B115" s="2" t="inlineStr">
        <is>
          <t>仮サミットコード連番上限の設定可能化・00始まり化（A99固定 → 設定項目化）</t>
        </is>
      </c>
      <c r="C115" s="2" t="inlineStr">
        <is>
          <t>仮サミットコードの連番上限がA99固定のため、初年度に1エリア100件超となる可能性がある。上限を2.2.1設定可能項目へ追加し運用年度で切り替えられるようにする。あわせて連番を00始まりへ変更（A00〜A99で1prefix100件）。</t>
        </is>
      </c>
      <c r="D115" s="2" t="inlineStr">
        <is>
          <t>改善</t>
        </is>
      </c>
      <c r="E115" s="4" t="inlineStr">
        <is>
          <t>中</t>
        </is>
      </c>
      <c r="F115" s="2" t="inlineStr">
        <is>
          <t>設定</t>
        </is>
      </c>
      <c r="G115" s="2" t="inlineStr">
        <is>
          <t>Sonnet</t>
        </is>
      </c>
      <c r="H115" s="2" t="inlineStr">
        <is>
          <t>2026-06-18</t>
        </is>
      </c>
      <c r="I115" s="2" t="inlineStr">
        <is>
          <t>SRS</t>
        </is>
      </c>
      <c r="J115" s="2" t="inlineStr">
        <is>
          <t>SRS</t>
        </is>
      </c>
      <c r="K115" s="2" t="inlineStr">
        <is>
          <t>解決済</t>
        </is>
      </c>
      <c r="L115" s="2" t="inlineStr">
        <is>
          <t>Sonnet</t>
        </is>
      </c>
      <c r="M115" s="2" t="inlineStr">
        <is>
          <t>2.2.1設定可能項目に「仮サミットコード連番上限」を追加（デフォルトA・許容A〜Z）。連番を01始まり→00始まりへ変更。フォーマット例をA01→A00へ全更新。ADR-SRS-031作成・SRS本文反映で対応。</t>
        </is>
      </c>
      <c r="N115" s="2" t="inlineStr"/>
      <c r="O115" s="2" t="inlineStr"/>
      <c r="P115" s="2" t="inlineStr">
        <is>
          <t>2026-06-23</t>
        </is>
      </c>
    </row>
    <row r="116" ht="40" customHeight="1">
      <c r="A116" s="2" t="inlineStr">
        <is>
          <t>ISSUE-116</t>
        </is>
      </c>
      <c r="B116" s="2" t="inlineStr">
        <is>
          <t>FR-013レビュー: metadata責務分離・正準定義移動・license_url統一</t>
        </is>
      </c>
      <c r="C116" s="2" t="inlineStr">
        <is>
          <t>FR-013レビューで発覚。merged_summit.geojson の metadata キー attribution/source_url/license_url は ADR-URD-014/UR-011 由来の固定定数だが、正準定義が消費側の FR-013 に置かれている（L1261/L1493 が「FR-013 メタデータ定義参照」と指す）。metadata の構造定義の正準を生成元 FR-009 に集約し、固定定数の値の正準を ADR-URD-014/データ辞書に置く。加えてキー名不一致: ADR-URD-014 §3 は 'license'、SRS は 'license_url'。SRS 側が多箇所使用済みのため license_url に統一し ADR-URD-014 を合わせる。</t>
        </is>
      </c>
      <c r="D116" s="2" t="inlineStr">
        <is>
          <t>改善</t>
        </is>
      </c>
      <c r="E116" s="3" t="inlineStr">
        <is>
          <t>高</t>
        </is>
      </c>
      <c r="F116" s="2" t="inlineStr">
        <is>
          <t>merge.py</t>
        </is>
      </c>
      <c r="G116" s="2" t="inlineStr">
        <is>
          <t>Sonnet</t>
        </is>
      </c>
      <c r="H116" s="2" t="inlineStr">
        <is>
          <t>2026-06-19</t>
        </is>
      </c>
      <c r="I116" s="2" t="inlineStr">
        <is>
          <t>SRS</t>
        </is>
      </c>
      <c r="J116" s="2" t="inlineStr"/>
      <c r="K116" s="2" t="inlineStr">
        <is>
          <t>解決済</t>
        </is>
      </c>
      <c r="L116" s="2" t="inlineStr">
        <is>
          <t>Sonnet</t>
        </is>
      </c>
      <c r="M116" s="2" t="inlineStr">
        <is>
          <t>①FR-009 の説明に metadata 全キー（データ由来＋固定定数）の生成責務を明記。②ADR-URD-014 §3 の GeoJSON metadata キーを license → license_url に修正。③SRS L1261/L1493 の参照先を FR-009 に変更。④FR-013 の metadata 一覧は消費側として参照のみに修正。ADR-URD-014 改訂。</t>
        </is>
      </c>
      <c r="N116" s="2" t="inlineStr"/>
      <c r="O116" s="2" t="inlineStr">
        <is>
          <t>2026-06-19</t>
        </is>
      </c>
      <c r="P116" s="2" t="inlineStr">
        <is>
          <t>2026-06-23</t>
        </is>
      </c>
    </row>
    <row r="117" ht="40" customHeight="1">
      <c r="A117" s="2" t="inlineStr">
        <is>
          <t>ISSUE-117</t>
        </is>
      </c>
      <c r="B117" s="2" t="inlineStr">
        <is>
          <t>FR-013レビュー: gsi_tile_latest_date を FR-001 起点で上流化</t>
        </is>
      </c>
      <c r="C117" s="2" t="inlineStr">
        <is>
          <t>FR-013レビューで発覚。gsi_tile_latest_date（地理院タイル更新日）の生成責務が未定義（SRS L1110 で「生成実装は別 ISSUE 管理」と棚上げ）。現状案の「キャッシュ全体の mtime 最大」は、mtime がダウンロード日時になってしまい提供元更新日の意味にならない。正確な意味にするには FR-001 でタイル取得時の HTTP Last-Modified をキャッシュファイルの mtime に焼き込む（os.utime）必要がある。集約スコープは案②（キャッシュ全体の mtime 最大・パイプライン末尾で1回スキャン）を採用。全国一括運用なら案①（使用タイルのみ集計）と実質同値、表示専用で判定未使用のため費用対効果で案②。FR-009 が metadata に格納し FR-013/FR-019 は表示のみ。</t>
        </is>
      </c>
      <c r="D117" s="2" t="inlineStr">
        <is>
          <t>改善</t>
        </is>
      </c>
      <c r="E117" s="3" t="inlineStr">
        <is>
          <t>高</t>
        </is>
      </c>
      <c r="F117" s="2" t="inlineStr">
        <is>
          <t>prefetch</t>
        </is>
      </c>
      <c r="G117" s="2" t="inlineStr">
        <is>
          <t>Sonnet</t>
        </is>
      </c>
      <c r="H117" s="2" t="inlineStr">
        <is>
          <t>2026-06-19</t>
        </is>
      </c>
      <c r="I117" s="2" t="inlineStr">
        <is>
          <t>SRS</t>
        </is>
      </c>
      <c r="J117" s="2" t="inlineStr"/>
      <c r="K117" s="2" t="inlineStr">
        <is>
          <t>解決済</t>
        </is>
      </c>
      <c r="L117" s="2" t="inlineStr">
        <is>
          <t>Sonnet</t>
        </is>
      </c>
      <c r="M117" s="2" t="inlineStr">
        <is>
          <t>①FR-001 の説明に「HTTP Last-Modified をキャッシュファイルの mtime に設定する（os.utime）」を追記。②FR-009 の説明に「パイプライン末尾でキャッシュ全体の mtime 最大を取得し gsi_tile_latest_date として metadata に格納」を追記。③FR-013 の metadata 一覧に gsi_tile_latest_date を追加（上流生成・表示用・部分解析時は過大評価の可能性あり旨を注記）。ADR 新規作成（SRS）。</t>
        </is>
      </c>
      <c r="N117" s="2" t="inlineStr"/>
      <c r="O117" s="2" t="inlineStr">
        <is>
          <t>2026-06-19</t>
        </is>
      </c>
      <c r="P117" s="2" t="inlineStr">
        <is>
          <t>2026-06-23</t>
        </is>
      </c>
    </row>
    <row r="118" ht="40" customHeight="1">
      <c r="A118" s="2" t="inlineStr">
        <is>
          <t>ISSUE-118</t>
        </is>
      </c>
      <c r="B118" s="2" t="inlineStr">
        <is>
          <t>FR-013レビュー: 不備確認責務を geojson metadata から xlsx へ移行</t>
        </is>
      </c>
      <c r="C118" s="2" t="inlineStr">
        <is>
          <t>FR-013レビューで発覚。現状の設計は不備フラグ（is_unmatched_summit/is_area_incomplete/is_key_col_unresolved）を merged_summit.geojson の top-level metadata に格納（ADR-SRS-011/013）しているが、消費者がいない（FR-013 のスキップ判定は exit code、地図可視化は per-feature プロパティが担う）。また不備ゲート（データ品質による意図的な停止）発動時に geojson は「必ず出力」と明記（SRS L914）されているが xlsx は記述なし。不備確認の主役が xlsx（per-row で確認可能）であるにもかかわらず、失敗時に xlsx が出力される保証がない。加えて xlsx には area_complete 列がなく（is_area_incomplete を per-row 化できない）、unmatched サミットが行として出力されない（match_status 値域が matched/new/dominant のみ）。</t>
        </is>
      </c>
      <c r="D118" s="2" t="inlineStr">
        <is>
          <t>改善</t>
        </is>
      </c>
      <c r="E118" s="3" t="inlineStr">
        <is>
          <t>高</t>
        </is>
      </c>
      <c r="F118" s="2" t="inlineStr">
        <is>
          <t>merge.py</t>
        </is>
      </c>
      <c r="G118" s="2" t="inlineStr">
        <is>
          <t>Sonnet</t>
        </is>
      </c>
      <c r="H118" s="2" t="inlineStr">
        <is>
          <t>2026-06-19</t>
        </is>
      </c>
      <c r="I118" s="2" t="inlineStr">
        <is>
          <t>SRS</t>
        </is>
      </c>
      <c r="J118" s="2" t="inlineStr"/>
      <c r="K118" s="2" t="inlineStr">
        <is>
          <t>解決済</t>
        </is>
      </c>
      <c r="L118" s="2" t="inlineStr">
        <is>
          <t>Sonnet</t>
        </is>
      </c>
      <c r="M118" s="2" t="inlineStr">
        <is>
          <t>①geojson metadata から top-level boolean 不備フラグを削除（per-feature の key_col_resolved/area_complete は残す）。②xlsx の列に area_complete を追加、match_status 値域に delete/unmatched を追加。③FR-009 L914 を書き換え「不備ゲート発動時は xlsx+geojson をセット出力してから停止」と明記（ハードクラッシュとは区別）。ADR-SRS-011/013 改訂。</t>
        </is>
      </c>
      <c r="N118" s="2" t="inlineStr"/>
      <c r="O118" s="2" t="inlineStr">
        <is>
          <t>2026-06-19</t>
        </is>
      </c>
      <c r="P118" s="2" t="inlineStr">
        <is>
          <t>2026-06-23</t>
        </is>
      </c>
    </row>
    <row r="119" ht="40" customHeight="1">
      <c r="A119" s="7" t="inlineStr">
        <is>
          <t>ISSUE-119</t>
        </is>
      </c>
      <c r="B119" s="7" t="inlineStr">
        <is>
          <t>地理院シンボルアイコンを中間GeoJSON・公開用ダウンロードGeoJSONに適用する</t>
        </is>
      </c>
      <c r="C119" s="7" t="inlineStr">
        <is>
          <t>モックビューア(FR-013)ではアイコンをFontAwesome(▲ピーク/▼コル/●サミット)に決定し、地理院シンボル画像(L.icon)は不採用とした(7067件のDOM描画が重く、変更なしサミットはCanvas円、解析結果はFontAwesomeで軽量化・形状区別を優先)。ただし地理院シンボルアイコンは捨てず、(1)中間GeoJSON(mesh_analyze.c/merge.py出力)と(2)公開用HTMLビューアからダウンロードするGeoJSONでの利用を予定する。これらは地理院地図等で開く前提のため地理院シンボルが適する。</t>
        </is>
      </c>
      <c r="D119" s="7" t="inlineStr">
        <is>
          <t>設計</t>
        </is>
      </c>
      <c r="E119" s="4" t="inlineStr">
        <is>
          <t>中</t>
        </is>
      </c>
      <c r="F119" s="7" t="inlineStr">
        <is>
          <t>GeoJSON出力</t>
        </is>
      </c>
      <c r="G119" s="7" t="inlineStr">
        <is>
          <t>Opus</t>
        </is>
      </c>
      <c r="H119" s="7" t="inlineStr">
        <is>
          <t>2026-06-19</t>
        </is>
      </c>
      <c r="I119" s="7" t="inlineStr"/>
      <c r="J119" s="7" t="inlineStr">
        <is>
          <t>HLD</t>
        </is>
      </c>
      <c r="K119" s="7" t="inlineStr">
        <is>
          <t>未対応</t>
        </is>
      </c>
      <c r="L119" s="7" t="inlineStr">
        <is>
          <t>Opus</t>
        </is>
      </c>
      <c r="M119" s="7" t="inlineStr"/>
      <c r="N119" s="7" t="inlineStr">
        <is>
          <t>中間GeoJSONはSOTAポイント未割当のためpt別アイコン(18番号体系)が使えず、標高ベース等の代替スキームをHLDで規定する必要がある(ADR-SRS-026関連)。既存todo.mdの『地理院シンボル18番号体系のHLD色スキーム規定』『中間GeoJSONの標高ベース色スキームをHLDで規定』と連動。モック側はFontAwesome採用済みのため、本番出力(中間/公開用GeoJSON)とモックでアイコン方式が分岐する点を設計時に明記すること。</t>
        </is>
      </c>
      <c r="O119" s="7" t="inlineStr"/>
      <c r="P119" s="7" t="inlineStr"/>
    </row>
    <row r="120" ht="40" customHeight="1">
      <c r="A120" s="6" t="inlineStr">
        <is>
          <t>ISSUE-120</t>
        </is>
      </c>
      <c r="B120" s="6" t="inlineStr">
        <is>
          <t>課題 type『機能追加』廃止 — 実装タスクの todo 化を防ぐ</t>
        </is>
      </c>
      <c r="C120" s="6" t="inlineStr">
        <is>
          <t>issue の type『機能追加』が SRS 確定済み FR の実装タスクと本物の設計課題を両方飲み込み、issue が todo 的に使われる温床になっていた。VALID_TYPES から『機能追加』を廃止し、実装タスクは todo.md で管理する運用に移行した。対話入力 UI の番号選択メニュー化・フィールドガイド表示もあわせて実施。</t>
        </is>
      </c>
      <c r="D120" s="6" t="inlineStr">
        <is>
          <t>設計</t>
        </is>
      </c>
      <c r="E120" s="4" t="inlineStr">
        <is>
          <t>中</t>
        </is>
      </c>
      <c r="F120" s="6" t="inlineStr"/>
      <c r="G120" s="6" t="inlineStr">
        <is>
          <t>Opus</t>
        </is>
      </c>
      <c r="H120" s="6" t="inlineStr">
        <is>
          <t>2026-06-21</t>
        </is>
      </c>
      <c r="I120" s="6" t="inlineStr"/>
      <c r="J120" s="6" t="inlineStr"/>
      <c r="K120" s="6" t="inlineStr">
        <is>
          <t>未対応</t>
        </is>
      </c>
      <c r="L120" s="6" t="inlineStr"/>
      <c r="M120" s="6" t="inlineStr">
        <is>
          <t>VALID_TYPES から廃止（track.py:43）＋argparse choices 自動更新。未解決9件（062/063/066→todo降格、070/071/040/044→type=設計、032→type=改善、009→type=調査）を再分類。対話入力を番号選択メニュー＋ガイド表示に改修。mgmt/tracker/CLAUDE.md・CLAUDE.md 更新。</t>
        </is>
      </c>
      <c r="N120" s="6" t="inlineStr"/>
      <c r="O120" s="6" t="inlineStr"/>
      <c r="P120" s="6" t="inlineStr"/>
    </row>
    <row r="121" ht="40" customHeight="1">
      <c r="A121" s="2" t="inlineStr">
        <is>
          <t>ISSUE-121</t>
        </is>
      </c>
      <c r="B121" s="2" t="inlineStr">
        <is>
          <t>merged_summit.geojson スキーマ正本を生成者 FR-009 へ移設（消費者 FR-013 から）</t>
        </is>
      </c>
      <c r="C121" s="2" t="inlineStr">
        <is>
          <t>merged_summit.geojson のフィーチャ構成・プロパティスキーマ正本が消費者である FR-013(SRS L959-1045) に定義されている。生成者は FR-009(L848・L917)。スキーマを消費側に置くと FR-009 との乖離リスクが構造的に残り、metadata/プロパティ記述が FR-013/FR-019/FR-009 で部分重複する温床になっている（指摘2-4の根因）。</t>
        </is>
      </c>
      <c r="D121" s="2" t="inlineStr">
        <is>
          <t>設計</t>
        </is>
      </c>
      <c r="E121" s="3" t="inlineStr">
        <is>
          <t>高</t>
        </is>
      </c>
      <c r="F121" s="2" t="inlineStr">
        <is>
          <t>GeoJSON出力</t>
        </is>
      </c>
      <c r="G121" s="2" t="inlineStr">
        <is>
          <t>Opus</t>
        </is>
      </c>
      <c r="H121" s="2" t="inlineStr">
        <is>
          <t>2026-06-21</t>
        </is>
      </c>
      <c r="I121" s="2" t="inlineStr">
        <is>
          <t>SRS</t>
        </is>
      </c>
      <c r="J121" s="2" t="inlineStr"/>
      <c r="K121" s="2" t="inlineStr">
        <is>
          <t>解決済</t>
        </is>
      </c>
      <c r="L121" s="2" t="inlineStr"/>
      <c r="M121" s="2" t="inlineStr">
        <is>
          <t>スキーマ正本を FR-009（または 7.2 内部データ）へ移設し、FR-013/FR-019 は参照に統一する。</t>
        </is>
      </c>
      <c r="N121" s="2" t="inlineStr"/>
      <c r="O121" s="2" t="inlineStr">
        <is>
          <t>2026-06-22</t>
        </is>
      </c>
      <c r="P121" s="2" t="inlineStr">
        <is>
          <t>2026-06-23</t>
        </is>
      </c>
    </row>
    <row r="122" ht="40" customHeight="1">
      <c r="A122" s="2" t="inlineStr">
        <is>
          <t>ISSUE-122</t>
        </is>
      </c>
      <c r="B122" s="2" t="inlineStr">
        <is>
          <t>FR-013↔FR-019 の役割境界整理（生成機構の記述位置）</t>
        </is>
      </c>
      <c r="C122" s="2" t="inlineStr">
        <is>
          <t>FR-013 は『生成』と銘打つが、生成機構（テンプレート同梱・JS変数埋め込み・出力パス merged_viewer.html）の記述が FR-019(L1099-1100) 側にある。FR-013(L938)↔FR-019 の役割境界が曖昧。</t>
        </is>
      </c>
      <c r="D122" s="2" t="inlineStr">
        <is>
          <t>改善</t>
        </is>
      </c>
      <c r="E122" s="4" t="inlineStr">
        <is>
          <t>中</t>
        </is>
      </c>
      <c r="F122" s="2" t="inlineStr">
        <is>
          <t>その他</t>
        </is>
      </c>
      <c r="G122" s="2" t="inlineStr">
        <is>
          <t>Opus</t>
        </is>
      </c>
      <c r="H122" s="2" t="inlineStr">
        <is>
          <t>2026-06-21</t>
        </is>
      </c>
      <c r="I122" s="2" t="inlineStr">
        <is>
          <t>SRS</t>
        </is>
      </c>
      <c r="J122" s="2" t="inlineStr"/>
      <c r="K122" s="2" t="inlineStr">
        <is>
          <t>解決済</t>
        </is>
      </c>
      <c r="L122" s="2" t="inlineStr"/>
      <c r="M122" s="2" t="inlineStr">
        <is>
          <t>生成手順=FR-013、ブラウザ提供機能=FR-019 に責務を整理する。</t>
        </is>
      </c>
      <c r="N122" s="2" t="inlineStr"/>
      <c r="O122" s="2" t="inlineStr">
        <is>
          <t>2026-06-22</t>
        </is>
      </c>
      <c r="P122" s="2" t="inlineStr">
        <is>
          <t>2026-06-23</t>
        </is>
      </c>
    </row>
    <row r="123" ht="40" customHeight="1">
      <c r="A123" s="2" t="inlineStr">
        <is>
          <t>ISSUE-123</t>
        </is>
      </c>
      <c r="B123" s="2" t="inlineStr">
        <is>
          <t>viewer 使用 metadata キー列挙の重複・不一致を集約（FR-013/FR-019）</t>
        </is>
      </c>
      <c r="C123" s="2" t="inlineStr">
        <is>
          <t>viewer が使う metadata キー列挙が FR-013(L954-958, 6件) と FR-019(L1123-1126, 表示用3件) で重複かつ内容不一致。</t>
        </is>
      </c>
      <c r="D123" s="2" t="inlineStr">
        <is>
          <t>改善</t>
        </is>
      </c>
      <c r="E123" s="4" t="inlineStr">
        <is>
          <t>中</t>
        </is>
      </c>
      <c r="F123" s="2" t="inlineStr">
        <is>
          <t>その他</t>
        </is>
      </c>
      <c r="G123" s="2" t="inlineStr">
        <is>
          <t>Opus</t>
        </is>
      </c>
      <c r="H123" s="2" t="inlineStr">
        <is>
          <t>2026-06-21</t>
        </is>
      </c>
      <c r="I123" s="2" t="inlineStr">
        <is>
          <t>SRS</t>
        </is>
      </c>
      <c r="J123" s="2" t="inlineStr"/>
      <c r="K123" s="2" t="inlineStr">
        <is>
          <t>解決済</t>
        </is>
      </c>
      <c r="L123" s="2" t="inlineStr"/>
      <c r="M123" s="2" t="inlineStr">
        <is>
          <t>一方へ集約し他方は参照にする。</t>
        </is>
      </c>
      <c r="N123" s="2" t="inlineStr"/>
      <c r="O123" s="2" t="inlineStr">
        <is>
          <t>2026-06-22</t>
        </is>
      </c>
      <c r="P123" s="2" t="inlineStr">
        <is>
          <t>2026-06-23</t>
        </is>
      </c>
    </row>
    <row r="124" ht="40" customHeight="1">
      <c r="A124" s="2" t="inlineStr">
        <is>
          <t>ISSUE-124</t>
        </is>
      </c>
      <c r="B124" s="2" t="inlineStr">
        <is>
          <t>AZ area_complete=false の死に仕様を明確化（viewer 到達データでは常に true）</t>
        </is>
      </c>
      <c r="C124" s="2" t="inlineStr">
        <is>
          <t>FR-013(L1016) は AZ プロパティ area_complete を true/false 両値で定義するが、FR-019(L1108) は area_complete=false が上流(FR-009 is_area_incomplete)停止で viewer 非到達とする。viewer 到達 merged_summit.geojson では常に true で false 記述が死に仕様。</t>
        </is>
      </c>
      <c r="D124" s="2" t="inlineStr">
        <is>
          <t>改善</t>
        </is>
      </c>
      <c r="E124" s="4" t="inlineStr">
        <is>
          <t>中</t>
        </is>
      </c>
      <c r="F124" s="2" t="inlineStr">
        <is>
          <t>GeoJSON出力</t>
        </is>
      </c>
      <c r="G124" s="2" t="inlineStr">
        <is>
          <t>Opus</t>
        </is>
      </c>
      <c r="H124" s="2" t="inlineStr">
        <is>
          <t>2026-06-21</t>
        </is>
      </c>
      <c r="I124" s="2" t="inlineStr">
        <is>
          <t>SRS</t>
        </is>
      </c>
      <c r="J124" s="2" t="inlineStr"/>
      <c r="K124" s="2" t="inlineStr">
        <is>
          <t>解決済</t>
        </is>
      </c>
      <c r="L124" s="2" t="inlineStr"/>
      <c r="M124" s="2" t="inlineStr">
        <is>
          <t>merged_summit.geojson 文脈では常に true である旨を注記、または中間データ専用と明確化する。</t>
        </is>
      </c>
      <c r="N124" s="2" t="inlineStr"/>
      <c r="O124" s="2" t="inlineStr">
        <is>
          <t>2026-06-22</t>
        </is>
      </c>
      <c r="P124" s="2" t="inlineStr">
        <is>
          <t>2026-06-23</t>
        </is>
      </c>
    </row>
    <row r="125" ht="40" customHeight="1">
      <c r="A125" s="2" t="inlineStr">
        <is>
          <t>ISSUE-125</t>
        </is>
      </c>
      <c r="B125" s="2" t="inlineStr">
        <is>
          <t>key_col_resolved=false ピークの prominence プロパティ値表現を規定</t>
        </is>
      </c>
      <c r="C125" s="2" t="inlineStr">
        <is>
          <t>key_col_resolved=false のピークでは col Point と prominence_range LineString は『含めない』と明記される(SRS L988・L1030)が、peak Point の prominence プロパティ値（空文字/センチネル/省略）の表現が未規定(L979)。FR-019(L1132) は表示『未定義』とするが GeoJSON 値が未定義。</t>
        </is>
      </c>
      <c r="D125" s="2" t="inlineStr">
        <is>
          <t>設計</t>
        </is>
      </c>
      <c r="E125" s="4" t="inlineStr">
        <is>
          <t>中</t>
        </is>
      </c>
      <c r="F125" s="2" t="inlineStr">
        <is>
          <t>GeoJSON出力</t>
        </is>
      </c>
      <c r="G125" s="2" t="inlineStr">
        <is>
          <t>Opus</t>
        </is>
      </c>
      <c r="H125" s="2" t="inlineStr">
        <is>
          <t>2026-06-21</t>
        </is>
      </c>
      <c r="I125" s="2" t="inlineStr">
        <is>
          <t>SRS</t>
        </is>
      </c>
      <c r="J125" s="2" t="inlineStr"/>
      <c r="K125" s="2" t="inlineStr">
        <is>
          <t>解決済</t>
        </is>
      </c>
      <c r="L125" s="2" t="inlineStr"/>
      <c r="M125" s="2" t="inlineStr">
        <is>
          <t>未確定時の prominence 値の表現（空文字/省略 等）を SRS に規定する。</t>
        </is>
      </c>
      <c r="N125" s="2" t="inlineStr"/>
      <c r="O125" s="2" t="inlineStr">
        <is>
          <t>2026-06-22</t>
        </is>
      </c>
      <c r="P125" s="2" t="inlineStr">
        <is>
          <t>2026-06-23</t>
        </is>
      </c>
    </row>
    <row r="126" ht="40" customHeight="1">
      <c r="A126" s="2" t="inlineStr">
        <is>
          <t>ISSUE-126</t>
        </is>
      </c>
      <c r="B126" s="2" t="inlineStr">
        <is>
          <t>dominant 複数削除候補の対応識別（coord_diff/summit の相手コードプロパティ）</t>
        </is>
      </c>
      <c r="C126" s="2" t="inlineStr">
        <is>
          <t>dominant ピークの勢力圏に削除候補サミットが複数入る場合、ピーク→SOTAサミット線(coord_diff)が複数本でき全て同じ summit_code(ピーク仮コード)を持つため、どの線がどの削除候補に対応するかプロパティで判別不可（幾何のみ）。既存サミット点側にも親 dominant ピークを示すプロパティがない(SRS L965・L1037-1045)。実害は限定的（地図描画は幾何で成立）。</t>
        </is>
      </c>
      <c r="D126" s="2" t="inlineStr">
        <is>
          <t>設計</t>
        </is>
      </c>
      <c r="E126" s="4" t="inlineStr">
        <is>
          <t>中</t>
        </is>
      </c>
      <c r="F126" s="2" t="inlineStr">
        <is>
          <t>GeoJSON出力</t>
        </is>
      </c>
      <c r="G126" s="2" t="inlineStr">
        <is>
          <t>Opus</t>
        </is>
      </c>
      <c r="H126" s="2" t="inlineStr">
        <is>
          <t>2026-06-21</t>
        </is>
      </c>
      <c r="I126" s="2" t="inlineStr">
        <is>
          <t>SRS</t>
        </is>
      </c>
      <c r="J126" s="2" t="inlineStr"/>
      <c r="K126" s="2" t="inlineStr">
        <is>
          <t>解決済</t>
        </is>
      </c>
      <c r="L126" s="2" t="inlineStr"/>
      <c r="M126" s="2" t="inlineStr">
        <is>
          <t>推奨方向（非拘束）: 対応づけを summit_code で明示する既存方針に整合させ、線に相手サミットのSOTAコード、サミット点に親ピーク仮コードを新プロパティとして追加。ただし新プロパティ名・付与範囲・FR-009生成ロジック/FR-019(相互ジャンプ)/FR-012/FR-021 への波及を確認のうえ本issue着手時に決定（今は決めない）。必要なら ADR 化。</t>
        </is>
      </c>
      <c r="N126" s="2" t="inlineStr"/>
      <c r="O126" s="2" t="inlineStr">
        <is>
          <t>2026-06-22</t>
        </is>
      </c>
      <c r="P126" s="2" t="inlineStr">
        <is>
          <t>2026-06-23</t>
        </is>
      </c>
    </row>
  </sheetData>
  <dataValidations count="5">
    <dataValidation sqref="K2:K126" showDropDown="0" showInputMessage="0" showErrorMessage="0" allowBlank="1" type="list">
      <formula1>"未対応,対応中,対応完了,解決済,却下"</formula1>
    </dataValidation>
    <dataValidation sqref="E2:E126" showDropDown="0" showInputMessage="0" showErrorMessage="0" allowBlank="1" type="list">
      <formula1>"高,中,低"</formula1>
    </dataValidation>
    <dataValidation sqref="D2:D126" showDropDown="0" showInputMessage="0" showErrorMessage="0" allowBlank="1" type="list">
      <formula1>"改善,調査,設計"</formula1>
    </dataValidation>
    <dataValidation sqref="I2:I126" showDropDown="0" showInputMessage="0" showErrorMessage="0" allowBlank="1" type="list">
      <formula1>"URD,SRS,HLD,LLD,COD,UT,IT,ST,OPS"</formula1>
    </dataValidation>
    <dataValidation sqref="J2:J126"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125</v>
      </c>
    </row>
    <row r="3">
      <c r="A3" s="10" t="inlineStr">
        <is>
          <t>未解決件数</t>
        </is>
      </c>
      <c r="B3" s="11" t="n">
        <v>21</v>
      </c>
    </row>
    <row r="4">
      <c r="A4" s="10" t="inlineStr">
        <is>
          <t>解決済件数</t>
        </is>
      </c>
      <c r="B4" s="11" t="n">
        <v>87</v>
      </c>
    </row>
    <row r="5">
      <c r="A5" s="10" t="inlineStr">
        <is>
          <t>解決率</t>
        </is>
      </c>
      <c r="B5" s="11" t="inlineStr">
        <is>
          <t>69.6%</t>
        </is>
      </c>
    </row>
    <row r="7">
      <c r="A7" s="8" t="inlineStr">
        <is>
          <t>ステータス別</t>
        </is>
      </c>
      <c r="B7" s="9" t="n"/>
    </row>
    <row r="8">
      <c r="A8" s="10" t="inlineStr">
        <is>
          <t>未対応</t>
        </is>
      </c>
      <c r="B8" s="11" t="n">
        <v>21</v>
      </c>
    </row>
    <row r="9">
      <c r="A9" s="10" t="inlineStr">
        <is>
          <t>対応中</t>
        </is>
      </c>
      <c r="B9" s="11" t="n">
        <v>0</v>
      </c>
    </row>
    <row r="10">
      <c r="A10" s="10" t="inlineStr">
        <is>
          <t>対応完了</t>
        </is>
      </c>
      <c r="B10" s="11" t="n">
        <v>0</v>
      </c>
    </row>
    <row r="11">
      <c r="A11" s="10" t="inlineStr">
        <is>
          <t>解決済</t>
        </is>
      </c>
      <c r="B11" s="11" t="n">
        <v>87</v>
      </c>
    </row>
    <row r="12">
      <c r="A12" s="10" t="inlineStr">
        <is>
          <t>却下</t>
        </is>
      </c>
      <c r="B12" s="11" t="n">
        <v>17</v>
      </c>
    </row>
    <row r="14">
      <c r="A14" s="8" t="inlineStr">
        <is>
          <t>優先度別（未解決）</t>
        </is>
      </c>
      <c r="B14" s="9" t="n"/>
    </row>
    <row r="15">
      <c r="A15" s="10" t="inlineStr">
        <is>
          <t>高</t>
        </is>
      </c>
      <c r="B15" s="11" t="n">
        <v>9</v>
      </c>
    </row>
    <row r="16">
      <c r="A16" s="10" t="inlineStr">
        <is>
          <t>中</t>
        </is>
      </c>
      <c r="B16" s="11" t="n">
        <v>9</v>
      </c>
    </row>
    <row r="17">
      <c r="A17" s="10" t="inlineStr">
        <is>
          <t>低</t>
        </is>
      </c>
      <c r="B17" s="11" t="n">
        <v>3</v>
      </c>
    </row>
    <row r="19">
      <c r="A19" s="8" t="inlineStr">
        <is>
          <t>種別別（未解決）</t>
        </is>
      </c>
      <c r="B19" s="9" t="n"/>
    </row>
    <row r="20">
      <c r="A20" s="10" t="inlineStr">
        <is>
          <t>改善</t>
        </is>
      </c>
      <c r="B20" s="11" t="n">
        <v>13</v>
      </c>
    </row>
    <row r="21">
      <c r="A21" s="10" t="inlineStr">
        <is>
          <t>調査</t>
        </is>
      </c>
      <c r="B21" s="11" t="n">
        <v>2</v>
      </c>
    </row>
    <row r="22">
      <c r="A22" s="10" t="inlineStr">
        <is>
          <t>設計</t>
        </is>
      </c>
      <c r="B22" s="11" t="n">
        <v>6</v>
      </c>
    </row>
    <row r="24">
      <c r="A24" s="8" t="inlineStr">
        <is>
          <t>カテゴリ別（未解決）</t>
        </is>
      </c>
      <c r="B24" s="9" t="n"/>
    </row>
    <row r="25">
      <c r="A25" s="10" t="inlineStr">
        <is>
          <t>解析エンジン</t>
        </is>
      </c>
      <c r="B25" s="11" t="n">
        <v>4</v>
      </c>
    </row>
    <row r="26">
      <c r="A26" s="10" t="inlineStr">
        <is>
          <t>merge.py</t>
        </is>
      </c>
      <c r="B26" s="11" t="n">
        <v>2</v>
      </c>
    </row>
    <row r="27">
      <c r="A27" s="10" t="inlineStr">
        <is>
          <t>GeoJSON出力</t>
        </is>
      </c>
      <c r="B27" s="11" t="n">
        <v>2</v>
      </c>
    </row>
    <row r="28">
      <c r="A28" s="10" t="inlineStr">
        <is>
          <t>その他</t>
        </is>
      </c>
      <c r="B28" s="11" t="n">
        <v>3</v>
      </c>
    </row>
    <row r="30">
      <c r="A30" s="8" t="inlineStr">
        <is>
          <t>ステージ別（未解決）</t>
        </is>
      </c>
      <c r="B30" s="9" t="n"/>
    </row>
    <row r="31">
      <c r="A31" s="10" t="inlineStr">
        <is>
          <t>SRS</t>
        </is>
      </c>
      <c r="B31" s="11" t="n">
        <v>17</v>
      </c>
    </row>
    <row r="32">
      <c r="A32" s="10" t="inlineStr">
        <is>
          <t>HLD</t>
        </is>
      </c>
      <c r="B32" s="11" t="n">
        <v>1</v>
      </c>
    </row>
    <row r="33">
      <c r="A33" s="10" t="inlineStr">
        <is>
          <t>COD</t>
        </is>
      </c>
      <c r="B33"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row r="51">
      <c r="A51" t="inlineStr">
        <is>
          <t>2026-06-15</t>
        </is>
      </c>
      <c r="B51" t="n">
        <v>101</v>
      </c>
      <c r="C51" t="n">
        <v>65</v>
      </c>
      <c r="D51" t="n">
        <v>76</v>
      </c>
    </row>
    <row r="52">
      <c r="A52" t="inlineStr">
        <is>
          <t>2026-06-16</t>
        </is>
      </c>
      <c r="B52" t="n">
        <v>105</v>
      </c>
      <c r="C52" t="n">
        <v>68</v>
      </c>
      <c r="D52" t="n">
        <v>76</v>
      </c>
    </row>
    <row r="53">
      <c r="A53" t="inlineStr">
        <is>
          <t>2026-06-17</t>
        </is>
      </c>
      <c r="B53" t="n">
        <v>106</v>
      </c>
      <c r="C53" t="n">
        <v>69</v>
      </c>
      <c r="D53" t="n">
        <v>76</v>
      </c>
    </row>
    <row r="54">
      <c r="A54" t="inlineStr">
        <is>
          <t>2026-06-18</t>
        </is>
      </c>
      <c r="B54" t="n">
        <v>114</v>
      </c>
      <c r="C54" t="n">
        <v>73</v>
      </c>
      <c r="D54" t="n">
        <v>84</v>
      </c>
    </row>
    <row r="55">
      <c r="A55" t="inlineStr">
        <is>
          <t>2026-06-19</t>
        </is>
      </c>
      <c r="B55" t="n">
        <v>118</v>
      </c>
      <c r="C55" t="n">
        <v>76</v>
      </c>
      <c r="D55" t="n">
        <v>84</v>
      </c>
    </row>
    <row r="56">
      <c r="A56" t="inlineStr">
        <is>
          <t>2026-06-20</t>
        </is>
      </c>
      <c r="B56" t="n">
        <v>118</v>
      </c>
      <c r="C56" t="n">
        <v>76</v>
      </c>
      <c r="D56" t="n">
        <v>84</v>
      </c>
    </row>
    <row r="57">
      <c r="A57" t="inlineStr">
        <is>
          <t>2026-06-21</t>
        </is>
      </c>
      <c r="B57" t="n">
        <v>125</v>
      </c>
      <c r="C57" t="n">
        <v>79</v>
      </c>
      <c r="D57" t="n">
        <v>84</v>
      </c>
    </row>
    <row r="58">
      <c r="A58" t="inlineStr">
        <is>
          <t>2026-06-22</t>
        </is>
      </c>
      <c r="B58" t="n">
        <v>125</v>
      </c>
      <c r="C58" t="n">
        <v>85</v>
      </c>
      <c r="D58" t="n">
        <v>84</v>
      </c>
    </row>
    <row r="59">
      <c r="A59" t="inlineStr">
        <is>
          <t>2026-06-23</t>
        </is>
      </c>
      <c r="B59" t="n">
        <v>125</v>
      </c>
      <c r="C59" t="n">
        <v>85</v>
      </c>
      <c r="D59" t="n">
        <v>104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2026-06-23T10:26:56Z</dcterms:created>
  <dcterms:modified xsi:type="dcterms:W3CDTF">2026-06-23T10:26:56Z</dcterms:modified>
</cp:coreProperties>
</file>