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'収束グラフ'!$A$2:$A$51</f>
            </strRef>
          </cat>
          <val>
            <numRef>
              <f>'収束グラフ'!$B$2:$B$51</f>
            </numRef>
          </val>
        </ser>
        <ser>
          <idx val="1"/>
          <order val="1"/>
          <tx>
            <strRef>
              <f>'収束グラフ'!C1</f>
            </strRef>
          </tx>
          <spPr>
            <a:ln w="20000">
              <a:solidFill>
                <a:srgbClr val="4472C4"/>
              </a:solidFill>
              <a:prstDash val="solid"/>
            </a:ln>
          </spPr>
          <marker>
            <symbol val="none"/>
            <spPr>
              <a:ln>
                <a:prstDash val="solid"/>
              </a:ln>
            </spPr>
          </marker>
          <cat>
            <strRef>
              <f>'収束グラフ'!$A$2:$A$51</f>
            </strRef>
          </cat>
          <val>
            <numRef>
              <f>'収束グラフ'!$C$2:$C$51</f>
            </numRef>
          </val>
        </ser>
        <ser>
          <idx val="2"/>
          <order val="2"/>
          <tx>
            <strRef>
              <f>'収束グラフ'!D1</f>
            </strRef>
          </tx>
          <spPr>
            <a:ln w="20000">
              <a:solidFill>
                <a:srgbClr val="70AD47"/>
              </a:solidFill>
              <a:prstDash val="solid"/>
            </a:ln>
          </spPr>
          <marker>
            <symbol val="none"/>
            <spPr>
              <a:ln>
                <a:prstDash val="solid"/>
              </a:ln>
            </spPr>
          </marker>
          <cat>
            <strRef>
              <f>'収束グラフ'!$A$2:$A$51</f>
            </strRef>
          </cat>
          <val>
            <numRef>
              <f>'収束グラフ'!$D$2:$D$51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7" t="inlineStr">
        <is>
          <t>ISSUE-094</t>
        </is>
      </c>
      <c r="B95" s="7" t="inlineStr">
        <is>
          <t>FR-005/006/007/016: ピーク↔コル紐付けモデルを per-peak 対応レコードへ一本化</t>
        </is>
      </c>
      <c r="C95" s="7"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7" t="inlineStr">
        <is>
          <t>改善</t>
        </is>
      </c>
      <c r="E95" s="3" t="inlineStr">
        <is>
          <t>高</t>
        </is>
      </c>
      <c r="F95" s="7" t="inlineStr"/>
      <c r="G95" s="7" t="inlineStr">
        <is>
          <t>Opus</t>
        </is>
      </c>
      <c r="H95" s="7" t="inlineStr">
        <is>
          <t>2026-06-14</t>
        </is>
      </c>
      <c r="I95" s="7" t="inlineStr">
        <is>
          <t>SRS</t>
        </is>
      </c>
      <c r="J95" s="7" t="inlineStr"/>
      <c r="K95" s="7" t="inlineStr">
        <is>
          <t>対応完了</t>
        </is>
      </c>
      <c r="L95" s="7" t="inlineStr">
        <is>
          <t>Opus</t>
        </is>
      </c>
      <c r="M95" s="7" t="inlineStr"/>
      <c r="N95" s="7" t="inlineStr"/>
      <c r="O95" s="7" t="inlineStr">
        <is>
          <t>2026-06-14</t>
        </is>
      </c>
      <c r="P95" s="7" t="inlineStr"/>
    </row>
    <row r="96" ht="40" customHeight="1">
      <c r="A96" s="6" t="inlineStr">
        <is>
          <t>ISSUE-095</t>
        </is>
      </c>
      <c r="B96" s="6" t="inlineStr">
        <is>
          <t>FR-006: コル確定/未確定の判定基準（境界辺接触 topology）と未確定行の値定義</t>
        </is>
      </c>
      <c r="C96" s="6"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6" t="inlineStr">
        <is>
          <t>改善</t>
        </is>
      </c>
      <c r="E96" s="3" t="inlineStr">
        <is>
          <t>高</t>
        </is>
      </c>
      <c r="F96" s="6" t="inlineStr"/>
      <c r="G96" s="6" t="inlineStr">
        <is>
          <t>Opus</t>
        </is>
      </c>
      <c r="H96" s="6" t="inlineStr">
        <is>
          <t>2026-06-14</t>
        </is>
      </c>
      <c r="I96" s="6" t="inlineStr">
        <is>
          <t>SRS</t>
        </is>
      </c>
      <c r="J96" s="6" t="inlineStr"/>
      <c r="K96" s="6" t="inlineStr">
        <is>
          <t>対応完了</t>
        </is>
      </c>
      <c r="L96" s="6" t="inlineStr">
        <is>
          <t>Opus</t>
        </is>
      </c>
      <c r="M96" s="6" t="inlineStr"/>
      <c r="N96" s="6" t="inlineStr"/>
      <c r="O96" s="6" t="inlineStr">
        <is>
          <t>2026-06-14</t>
        </is>
      </c>
      <c r="P96" s="6" t="inlineStr"/>
    </row>
    <row r="97" ht="40" customHeight="1">
      <c r="A97" s="7" t="inlineStr">
        <is>
          <t>ISSUE-096</t>
        </is>
      </c>
      <c r="B97" s="7" t="inlineStr">
        <is>
          <t>FR-007: col_margin_px の位置づけ確定（診断・将来用）と 629行誤記述の訂正</t>
        </is>
      </c>
      <c r="C97" s="7"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7" t="inlineStr">
        <is>
          <t>改善</t>
        </is>
      </c>
      <c r="E97" s="4" t="inlineStr">
        <is>
          <t>中</t>
        </is>
      </c>
      <c r="F97" s="7" t="inlineStr"/>
      <c r="G97" s="7" t="inlineStr">
        <is>
          <t>Opus</t>
        </is>
      </c>
      <c r="H97" s="7" t="inlineStr">
        <is>
          <t>2026-06-14</t>
        </is>
      </c>
      <c r="I97" s="7" t="inlineStr">
        <is>
          <t>SRS</t>
        </is>
      </c>
      <c r="J97" s="7" t="inlineStr"/>
      <c r="K97" s="7" t="inlineStr">
        <is>
          <t>対応完了</t>
        </is>
      </c>
      <c r="L97" s="7" t="inlineStr">
        <is>
          <t>Opus</t>
        </is>
      </c>
      <c r="M97" s="7" t="inlineStr"/>
      <c r="N97" s="7" t="inlineStr"/>
      <c r="O97" s="7" t="inlineStr">
        <is>
          <t>2026-06-14</t>
        </is>
      </c>
      <c r="P97" s="7" t="inlineStr"/>
    </row>
  </sheetData>
  <dataValidations count="5">
    <dataValidation sqref="K2:K97" showDropDown="0" showInputMessage="0" showErrorMessage="0" allowBlank="1" type="list">
      <formula1>"未対応,対応中,対応完了,解決済,却下"</formula1>
    </dataValidation>
    <dataValidation sqref="E2:E97" showDropDown="0" showInputMessage="0" showErrorMessage="0" allowBlank="1" type="list">
      <formula1>"高,中,低"</formula1>
    </dataValidation>
    <dataValidation sqref="D2:D97" showDropDown="0" showInputMessage="0" showErrorMessage="0" allowBlank="1" type="list">
      <formula1>"機能追加,改善,調査,設計"</formula1>
    </dataValidation>
    <dataValidation sqref="I2:I97" showDropDown="0" showInputMessage="0" showErrorMessage="0" allowBlank="1" type="list">
      <formula1>"URD,SRS,HLD,LLD,COD,UT,IT,ST,OPS"</formula1>
    </dataValidation>
    <dataValidation sqref="J2:J9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96</v>
      </c>
    </row>
    <row r="3">
      <c r="A3" s="10" t="inlineStr">
        <is>
          <t>未解決件数</t>
        </is>
      </c>
      <c r="B3" s="11" t="n">
        <v>25</v>
      </c>
    </row>
    <row r="4">
      <c r="A4" s="10" t="inlineStr">
        <is>
          <t>解決済件数</t>
        </is>
      </c>
      <c r="B4" s="11" t="n">
        <v>54</v>
      </c>
    </row>
    <row r="5">
      <c r="A5" s="10" t="inlineStr">
        <is>
          <t>解決率</t>
        </is>
      </c>
      <c r="B5" s="11" t="inlineStr">
        <is>
          <t>56.2%</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3</v>
      </c>
    </row>
    <row r="11">
      <c r="A11" s="10" t="inlineStr">
        <is>
          <t>解決済</t>
        </is>
      </c>
      <c r="B11" s="11" t="n">
        <v>54</v>
      </c>
    </row>
    <row r="12">
      <c r="A12" s="10" t="inlineStr">
        <is>
          <t>却下</t>
        </is>
      </c>
      <c r="B12" s="11" t="n">
        <v>17</v>
      </c>
    </row>
    <row r="14">
      <c r="A14" s="8" t="inlineStr">
        <is>
          <t>優先度別（未解決）</t>
        </is>
      </c>
      <c r="B14" s="9" t="n"/>
    </row>
    <row r="15">
      <c r="A15" s="10" t="inlineStr">
        <is>
          <t>高</t>
        </is>
      </c>
      <c r="B15" s="11" t="n">
        <v>13</v>
      </c>
    </row>
    <row r="16">
      <c r="A16" s="10" t="inlineStr">
        <is>
          <t>中</t>
        </is>
      </c>
      <c r="B16" s="11" t="n">
        <v>9</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15</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4</v>
      </c>
    </row>
    <row r="30">
      <c r="A30" s="8" t="inlineStr">
        <is>
          <t>ステージ別（未解決）</t>
        </is>
      </c>
      <c r="B30" s="9" t="n"/>
    </row>
    <row r="31">
      <c r="A31" s="10" t="inlineStr">
        <is>
          <t>SRS</t>
        </is>
      </c>
      <c r="B31" s="11" t="n">
        <v>23</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96</v>
      </c>
      <c r="C51" t="n">
        <v>60</v>
      </c>
      <c r="D51" t="n">
        <v>71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2026-06-15T08:38:19Z</dcterms:created>
  <dcterms:modified xsi:type="dcterms:W3CDTF">2026-06-15T08:38:19Z</dcterms:modified>
</cp:coreProperties>
</file>