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'収束グラフ'!$A$2:$A$28</f>
            </strRef>
          </cat>
          <val>
            <numRef>
              <f>'収束グラフ'!$B$2:$B$28</f>
            </numRef>
          </val>
        </ser>
        <ser>
          <idx val="1"/>
          <order val="1"/>
          <tx>
            <strRef>
              <f>'収束グラフ'!C1</f>
            </strRef>
          </tx>
          <spPr>
            <a:ln w="20000">
              <a:solidFill>
                <a:srgbClr val="4472C4"/>
              </a:solidFill>
              <a:prstDash val="solid"/>
            </a:ln>
          </spPr>
          <marker>
            <symbol val="none"/>
            <spPr>
              <a:ln>
                <a:prstDash val="solid"/>
              </a:ln>
            </spPr>
          </marker>
          <cat>
            <strRef>
              <f>'収束グラフ'!$A$2:$A$28</f>
            </strRef>
          </cat>
          <val>
            <numRef>
              <f>'収束グラフ'!$C$2:$C$28</f>
            </numRef>
          </val>
        </ser>
        <ser>
          <idx val="2"/>
          <order val="2"/>
          <tx>
            <strRef>
              <f>'収束グラフ'!D1</f>
            </strRef>
          </tx>
          <spPr>
            <a:ln w="20000">
              <a:solidFill>
                <a:srgbClr val="70AD47"/>
              </a:solidFill>
              <a:prstDash val="solid"/>
            </a:ln>
          </spPr>
          <marker>
            <symbol val="none"/>
            <spPr>
              <a:ln>
                <a:prstDash val="solid"/>
              </a:ln>
            </spPr>
          </marker>
          <cat>
            <strRef>
              <f>'収束グラフ'!$A$2:$A$28</f>
            </strRef>
          </cat>
          <val>
            <numRef>
              <f>'収束グラフ'!$D$2:$D$28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4" t="inlineStr">
        <is>
          <t>中</t>
        </is>
      </c>
      <c r="F23" s="7" t="inlineStr">
        <is>
          <t>その他</t>
        </is>
      </c>
      <c r="G23" s="7" t="inlineStr"/>
      <c r="H23" s="7" t="inlineStr">
        <is>
          <t>2026-05-14</t>
        </is>
      </c>
      <c r="I23" s="7" t="inlineStr">
        <is>
          <t>SRS</t>
        </is>
      </c>
      <c r="J23" s="7" t="inlineStr"/>
      <c r="K23" s="7" t="inlineStr">
        <is>
          <t>対応完了</t>
        </is>
      </c>
      <c r="L23" s="7" t="inlineStr">
        <is>
          <t>Claude</t>
        </is>
      </c>
      <c r="M23" s="7" t="inlineStr">
        <is>
          <t>FR-017 に 'タイル中心点が北方領土6村ポリゴンに含まれるタイルを列挙' と明示し、ADR-005 と同じ規定を SRS に転記する。</t>
        </is>
      </c>
      <c r="N23" s="7" t="inlineStr"/>
      <c r="O23" s="7" t="inlineStr">
        <is>
          <t>2026-05-23</t>
        </is>
      </c>
      <c r="P23" s="7" t="inlineStr"/>
    </row>
    <row r="24" ht="40" customHeight="1">
      <c r="A24" s="6" t="inlineStr">
        <is>
          <t>ISSUE-023</t>
        </is>
      </c>
      <c r="B24" s="6" t="inlineStr">
        <is>
          <t>NFR-003: 決定論性スコープから timestamp 除外を明記</t>
        </is>
      </c>
      <c r="C24" s="6" t="inlineStr">
        <is>
          <t>URD/SRS レビュー指摘 M-3。NFR-003 L527-529 で 'すべての出力が同一の内容になること' とあるが、merged.geojson の metadata.generated_at は実行時刻に依存するため完全な同一性は不可能。</t>
        </is>
      </c>
      <c r="D24" s="6" t="inlineStr">
        <is>
          <t>改善</t>
        </is>
      </c>
      <c r="E24" s="4" t="inlineStr">
        <is>
          <t>中</t>
        </is>
      </c>
      <c r="F24" s="6" t="inlineStr">
        <is>
          <t>その他</t>
        </is>
      </c>
      <c r="G24" s="6" t="inlineStr"/>
      <c r="H24" s="6" t="inlineStr">
        <is>
          <t>2026-05-14</t>
        </is>
      </c>
      <c r="I24" s="6" t="inlineStr">
        <is>
          <t>SRS</t>
        </is>
      </c>
      <c r="J24" s="6" t="inlineStr"/>
      <c r="K24" s="6" t="inlineStr">
        <is>
          <t>対応完了</t>
        </is>
      </c>
      <c r="L24" s="6" t="inlineStr">
        <is>
          <t>Claude</t>
        </is>
      </c>
      <c r="M24" s="6" t="inlineStr">
        <is>
          <t>NFR-003 に 'metadata.generated_at 等の実行時タイムスタンプを除き、ピーク座標・標高・突合結果・採番が同一であること' と除外規定を明記。</t>
        </is>
      </c>
      <c r="N24" s="6" t="inlineStr"/>
      <c r="O24" s="6" t="inlineStr">
        <is>
          <t>2026-05-23</t>
        </is>
      </c>
      <c r="P24" s="6"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未対応</t>
        </is>
      </c>
      <c r="L25" s="7" t="inlineStr"/>
      <c r="M25" s="7" t="inlineStr">
        <is>
          <t>FR-015 に縮小方式を明示する（推奨: max pooling でダウンサンプル、NODATA は除外）。もしくは HLD で規定する旨を SRS に明記。</t>
        </is>
      </c>
      <c r="N25" s="7" t="inlineStr"/>
      <c r="O25" s="7" t="inlineStr"/>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6" t="inlineStr">
        <is>
          <t>ISSUE-027</t>
        </is>
      </c>
      <c r="B28" s="6" t="inlineStr">
        <is>
          <t>GLOSSARY 補完（削除候補・dominant peak 見出し統一）</t>
        </is>
      </c>
      <c r="C28" s="6" t="inlineStr">
        <is>
          <t>URD/SRS レビュー指摘 L-4。'削除候補（deleted）' が用語集に独立項目として未定義。dominant peak の説明文で言及されるのみ。</t>
        </is>
      </c>
      <c r="D28" s="6" t="inlineStr">
        <is>
          <t>改善</t>
        </is>
      </c>
      <c r="E28" s="5" t="inlineStr">
        <is>
          <t>低</t>
        </is>
      </c>
      <c r="F28" s="6" t="inlineStr">
        <is>
          <t>その他</t>
        </is>
      </c>
      <c r="G28" s="6" t="inlineStr"/>
      <c r="H28" s="6" t="inlineStr">
        <is>
          <t>2026-05-14</t>
        </is>
      </c>
      <c r="I28" s="6" t="inlineStr">
        <is>
          <t>SRS</t>
        </is>
      </c>
      <c r="J28" s="6" t="inlineStr"/>
      <c r="K28" s="6" t="inlineStr">
        <is>
          <t>対応完了</t>
        </is>
      </c>
      <c r="L28" s="6" t="inlineStr">
        <is>
          <t>Claude</t>
        </is>
      </c>
      <c r="M28" s="6" t="inlineStr">
        <is>
          <t>GLOSSARY に以下を追加:
(1) '削除候補（deleted サミット）' を独立項目として追加（ISSUE-018 の sota_summit.match_status=deleted 定義と整合）
(2) ISSUE-026 と協調して 'dominant peak' 見出しを英語表記に統一</t>
        </is>
      </c>
      <c r="N28" s="6" t="inlineStr"/>
      <c r="O28" s="6" t="inlineStr">
        <is>
          <t>2026-05-23</t>
        </is>
      </c>
      <c r="P28" s="6"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5" t="inlineStr">
        <is>
          <t>低</t>
        </is>
      </c>
      <c r="F29" s="7" t="inlineStr">
        <is>
          <t>その他</t>
        </is>
      </c>
      <c r="G29" s="7" t="inlineStr"/>
      <c r="H29" s="7" t="inlineStr">
        <is>
          <t>2026-05-14</t>
        </is>
      </c>
      <c r="I29" s="7" t="inlineStr">
        <is>
          <t>SRS</t>
        </is>
      </c>
      <c r="J29" s="7" t="inlineStr"/>
      <c r="K29" s="7" t="inlineStr">
        <is>
          <t>対応完了</t>
        </is>
      </c>
      <c r="L29" s="7" t="inlineStr">
        <is>
          <t>Claude</t>
        </is>
      </c>
      <c r="M29" s="7" t="inlineStr">
        <is>
          <t>フォールバック規定を 1 箇所（推奨: FR-017 のみ）に集約し、他箇所からは '詳細は FR-017 参照' とリンクする。</t>
        </is>
      </c>
      <c r="N29" s="7" t="inlineStr"/>
      <c r="O29" s="7" t="inlineStr">
        <is>
          <t>2026-05-23</t>
        </is>
      </c>
      <c r="P29" s="7" t="inlineStr"/>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未対応</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c r="P30" s="6"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5" t="inlineStr">
        <is>
          <t>低</t>
        </is>
      </c>
      <c r="F31" s="7" t="inlineStr">
        <is>
          <t>その他</t>
        </is>
      </c>
      <c r="G31" s="7" t="inlineStr"/>
      <c r="H31" s="7" t="inlineStr">
        <is>
          <t>2026-05-14</t>
        </is>
      </c>
      <c r="I31" s="7" t="inlineStr">
        <is>
          <t>URD</t>
        </is>
      </c>
      <c r="J31" s="7" t="inlineStr"/>
      <c r="K31" s="7" t="inlineStr">
        <is>
          <t>対応完了</t>
        </is>
      </c>
      <c r="L31" s="7" t="inlineStr">
        <is>
          <t>Claude</t>
        </is>
      </c>
      <c r="M31" s="7" t="inlineStr">
        <is>
          <t>URD UR-006 の要件文または前提・制約に '作業用ビューア（山岳名入力・XLSX エクスポート）と公開用 HTML（閲覧専用）の 2 層構造' を反映する。</t>
        </is>
      </c>
      <c r="N31" s="7" t="inlineStr"/>
      <c r="O31" s="7" t="inlineStr">
        <is>
          <t>2026-05-23</t>
        </is>
      </c>
      <c r="P31" s="7" t="inlineStr"/>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5" t="inlineStr">
        <is>
          <t>低</t>
        </is>
      </c>
      <c r="F35" s="7" t="inlineStr">
        <is>
          <t>その他</t>
        </is>
      </c>
      <c r="G35" s="7" t="inlineStr"/>
      <c r="H35" s="7" t="inlineStr">
        <is>
          <t>2026-05-17</t>
        </is>
      </c>
      <c r="I35" s="7" t="inlineStr"/>
      <c r="J35" s="7" t="inlineStr"/>
      <c r="K35" s="7" t="inlineStr">
        <is>
          <t>対応完了</t>
        </is>
      </c>
      <c r="L35" s="7" t="inlineStr">
        <is>
          <t>Claude</t>
        </is>
      </c>
      <c r="M35" s="7" t="inlineStr">
        <is>
          <t>tracker のレコード編集機能で ISSUE-018 の resolution フィールドを書き換え、「案 B（peak.match_status は変更せず、summit.dominant_peak_code で紐付けのみ）を採用」と明記する。</t>
        </is>
      </c>
      <c r="N35" s="7" t="inlineStr"/>
      <c r="O35" s="7" t="inlineStr">
        <is>
          <t>2026-05-23</t>
        </is>
      </c>
      <c r="P35" s="7" t="inlineStr"/>
    </row>
    <row r="36" ht="40" customHeight="1">
      <c r="A36" s="6" t="inlineStr">
        <is>
          <t>ISSUE-035</t>
        </is>
      </c>
      <c r="B36" s="6" t="inlineStr">
        <is>
          <t>SRS: 竹島除外方針の記述追加・ADR-009 リンク</t>
        </is>
      </c>
      <c r="C36" s="6" t="inlineStr">
        <is>
          <t>URD UR-001・ADR-009 に竹島除外方針を追加済み。SRS の前提・制約・スコープ外・FR-003 関連箇所に竹島の記述を追加し、ADR-009 へのリンクを貼る。北方領土の記述（ADR-005 参照）に準じた形で記載すること。</t>
        </is>
      </c>
      <c r="D36" s="6" t="inlineStr"/>
      <c r="E36" s="4" t="inlineStr">
        <is>
          <t>中</t>
        </is>
      </c>
      <c r="F36" s="6" t="inlineStr"/>
      <c r="G36" s="6" t="inlineStr"/>
      <c r="H36" s="6" t="inlineStr">
        <is>
          <t>2026-05-17</t>
        </is>
      </c>
      <c r="I36" s="6" t="inlineStr">
        <is>
          <t>SRS</t>
        </is>
      </c>
      <c r="J36" s="6" t="inlineStr"/>
      <c r="K36" s="6" t="inlineStr">
        <is>
          <t>対応完了</t>
        </is>
      </c>
      <c r="L36" s="6" t="inlineStr">
        <is>
          <t>Claude</t>
        </is>
      </c>
      <c r="M36" s="6"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6" t="inlineStr"/>
      <c r="O36" s="6" t="inlineStr">
        <is>
          <t>2026-05-23</t>
        </is>
      </c>
      <c r="P36" s="6"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4" t="inlineStr">
        <is>
          <t>中</t>
        </is>
      </c>
      <c r="F37" s="7" t="inlineStr"/>
      <c r="G37" s="7" t="inlineStr"/>
      <c r="H37" s="7" t="inlineStr">
        <is>
          <t>2026-05-17</t>
        </is>
      </c>
      <c r="I37" s="7" t="inlineStr">
        <is>
          <t>SRS</t>
        </is>
      </c>
      <c r="J37" s="7" t="inlineStr"/>
      <c r="K37" s="7" t="inlineStr">
        <is>
          <t>対応完了</t>
        </is>
      </c>
      <c r="L37" s="7" t="inlineStr">
        <is>
          <t>Sonnet</t>
        </is>
      </c>
      <c r="M37" s="7" t="inlineStr">
        <is>
          <t>5531 を削除ではなくコメントアウト形式（# 5531 竹島のみのため除外（ADR-009））で除外。理由と根拠が履歴として残る。main.c は # 始まり行をスキップ済みのため動作上の変更なし。</t>
        </is>
      </c>
      <c r="N37" s="7" t="inlineStr"/>
      <c r="O37" s="7" t="inlineStr">
        <is>
          <t>2026-05-23</t>
        </is>
      </c>
      <c r="P37" s="7" t="inlineStr"/>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sheetData>
  <dataValidations count="5">
    <dataValidation sqref="K2:K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 sqref="J2:J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24</v>
      </c>
    </row>
    <row r="4">
      <c r="A4" s="10" t="inlineStr">
        <is>
          <t>解決済件数</t>
        </is>
      </c>
      <c r="B4" s="11" t="n">
        <v>20</v>
      </c>
    </row>
    <row r="5">
      <c r="A5" s="10" t="inlineStr">
        <is>
          <t>解決率</t>
        </is>
      </c>
      <c r="B5" s="11" t="inlineStr">
        <is>
          <t>40.0%</t>
        </is>
      </c>
    </row>
    <row r="7">
      <c r="A7" s="8" t="inlineStr">
        <is>
          <t>ステータス別</t>
        </is>
      </c>
      <c r="B7" s="9" t="n"/>
    </row>
    <row r="8">
      <c r="A8" s="10" t="inlineStr">
        <is>
          <t>未対応</t>
        </is>
      </c>
      <c r="B8" s="11" t="n">
        <v>16</v>
      </c>
    </row>
    <row r="9">
      <c r="A9" s="10" t="inlineStr">
        <is>
          <t>対応中</t>
        </is>
      </c>
      <c r="B9" s="11" t="n">
        <v>0</v>
      </c>
    </row>
    <row r="10">
      <c r="A10" s="10" t="inlineStr">
        <is>
          <t>対応完了</t>
        </is>
      </c>
      <c r="B10" s="11" t="n">
        <v>8</v>
      </c>
    </row>
    <row r="11">
      <c r="A11" s="10" t="inlineStr">
        <is>
          <t>解決済</t>
        </is>
      </c>
      <c r="B11" s="11" t="n">
        <v>20</v>
      </c>
    </row>
    <row r="12">
      <c r="A12" s="10" t="inlineStr">
        <is>
          <t>却下</t>
        </is>
      </c>
      <c r="B12" s="11" t="n">
        <v>6</v>
      </c>
    </row>
    <row r="14">
      <c r="A14" s="8" t="inlineStr">
        <is>
          <t>優先度別（未解決）</t>
        </is>
      </c>
      <c r="B14" s="9" t="n"/>
    </row>
    <row r="15">
      <c r="A15" s="10" t="inlineStr">
        <is>
          <t>高</t>
        </is>
      </c>
      <c r="B15" s="11" t="n">
        <v>7</v>
      </c>
    </row>
    <row r="16">
      <c r="A16" s="10" t="inlineStr">
        <is>
          <t>中</t>
        </is>
      </c>
      <c r="B16" s="11" t="n">
        <v>12</v>
      </c>
    </row>
    <row r="17">
      <c r="A17" s="10" t="inlineStr">
        <is>
          <t>低</t>
        </is>
      </c>
      <c r="B17" s="11" t="n">
        <v>5</v>
      </c>
    </row>
    <row r="19">
      <c r="A19" s="8" t="inlineStr">
        <is>
          <t>種別別（未解決）</t>
        </is>
      </c>
      <c r="B19" s="9" t="n"/>
    </row>
    <row r="20">
      <c r="A20" s="10" t="inlineStr">
        <is>
          <t>機能追加</t>
        </is>
      </c>
      <c r="B20" s="11" t="n">
        <v>4</v>
      </c>
    </row>
    <row r="21">
      <c r="A21" s="10" t="inlineStr">
        <is>
          <t>改善</t>
        </is>
      </c>
      <c r="B21" s="11" t="n">
        <v>15</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11</v>
      </c>
    </row>
    <row r="32">
      <c r="A32" s="8" t="inlineStr">
        <is>
          <t>ステージ別（未解決）</t>
        </is>
      </c>
      <c r="B32" s="9" t="n"/>
    </row>
    <row r="33">
      <c r="A33" s="10" t="inlineStr">
        <is>
          <t>URD</t>
        </is>
      </c>
      <c r="B33" s="11" t="n">
        <v>2</v>
      </c>
    </row>
    <row r="34">
      <c r="A34" s="10" t="inlineStr">
        <is>
          <t>SRS</t>
        </is>
      </c>
      <c r="B34" s="11" t="n">
        <v>18</v>
      </c>
    </row>
    <row r="35">
      <c r="A35" s="10" t="inlineStr">
        <is>
          <t>HLD</t>
        </is>
      </c>
      <c r="B35" s="11" t="n">
        <v>1</v>
      </c>
    </row>
    <row r="36">
      <c r="A36" s="10" t="inlineStr">
        <is>
          <t>COD</t>
        </is>
      </c>
      <c r="B36"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50</v>
      </c>
      <c r="C28" t="n">
        <v>32</v>
      </c>
      <c r="D28" t="n">
        <v>26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2026-05-23T07:04:28Z</dcterms:created>
  <dcterms:modified xsi:type="dcterms:W3CDTF">2026-05-23T07:04:28Z</dcterms:modified>
</cp:coreProperties>
</file>