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'収束グラフ'!$A$2:$A$40</f>
            </strRef>
          </cat>
          <val>
            <numRef>
              <f>'収束グラフ'!$B$2:$B$40</f>
            </numRef>
          </val>
        </ser>
        <ser>
          <idx val="1"/>
          <order val="1"/>
          <tx>
            <strRef>
              <f>'収束グラフ'!C1</f>
            </strRef>
          </tx>
          <spPr>
            <a:ln w="20000">
              <a:solidFill>
                <a:srgbClr val="4472C4"/>
              </a:solidFill>
              <a:prstDash val="solid"/>
            </a:ln>
          </spPr>
          <marker>
            <symbol val="none"/>
            <spPr>
              <a:ln>
                <a:prstDash val="solid"/>
              </a:ln>
            </spPr>
          </marker>
          <cat>
            <strRef>
              <f>'収束グラフ'!$A$2:$A$40</f>
            </strRef>
          </cat>
          <val>
            <numRef>
              <f>'収束グラフ'!$C$2:$C$40</f>
            </numRef>
          </val>
        </ser>
        <ser>
          <idx val="2"/>
          <order val="2"/>
          <tx>
            <strRef>
              <f>'収束グラフ'!D1</f>
            </strRef>
          </tx>
          <spPr>
            <a:ln w="20000">
              <a:solidFill>
                <a:srgbClr val="70AD47"/>
              </a:solidFill>
              <a:prstDash val="solid"/>
            </a:ln>
          </spPr>
          <marker>
            <symbol val="none"/>
            <spPr>
              <a:ln>
                <a:prstDash val="solid"/>
              </a:ln>
            </spPr>
          </marker>
          <cat>
            <strRef>
              <f>'収束グラフ'!$A$2:$A$40</f>
            </strRef>
          </cat>
          <val>
            <numRef>
              <f>'収束グラフ'!$D$2:$D$40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row r="69" ht="40" customHeight="1">
      <c r="A69" s="7" t="inlineStr">
        <is>
          <t>ISSUE-068</t>
        </is>
      </c>
      <c r="B69" s="7" t="inlineStr">
        <is>
          <t>SRS パラメータ・引数の記述統一</t>
        </is>
      </c>
      <c r="C69" s="7"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7" t="inlineStr">
        <is>
          <t>改善</t>
        </is>
      </c>
      <c r="E69" s="4" t="inlineStr">
        <is>
          <t>中</t>
        </is>
      </c>
      <c r="F69" s="7" t="inlineStr">
        <is>
          <t>その他</t>
        </is>
      </c>
      <c r="G69" s="7" t="inlineStr"/>
      <c r="H69" s="7" t="inlineStr">
        <is>
          <t>2026-05-31</t>
        </is>
      </c>
      <c r="I69" s="7" t="inlineStr">
        <is>
          <t>SRS</t>
        </is>
      </c>
      <c r="J69" s="7" t="inlineStr">
        <is>
          <t>SRS</t>
        </is>
      </c>
      <c r="K69" s="7" t="inlineStr">
        <is>
          <t>対応完了</t>
        </is>
      </c>
      <c r="L69" s="7" t="inlineStr"/>
      <c r="M69" s="7" t="inlineStr">
        <is>
          <t>Phase A: ADR-SRS-014 起案 / Phase B: 02_SRS.md にデータ辞書セクション・テンプレ追加 / Phase C: 既存 FR を新テンプレへ移行（FR-004/008/001 で先行確認）/ Phase D: 00_GLOSSARY.md 同期</t>
        </is>
      </c>
      <c r="N69" s="7" t="inlineStr">
        <is>
          <t>計画ファイル: mgmt/plan.md（srs-nifty-tarjan）</t>
        </is>
      </c>
      <c r="O69" s="7" t="inlineStr">
        <is>
          <t>2026-05-31</t>
        </is>
      </c>
      <c r="P69" s="7" t="inlineStr"/>
    </row>
    <row r="70" ht="40" customHeight="1">
      <c r="A70" s="6" t="inlineStr">
        <is>
          <t>ISSUE-069</t>
        </is>
      </c>
      <c r="B70" s="6" t="inlineStr">
        <is>
          <t>SRS データ辞書の網羅性向上・FR 名称統一・ADR-SRS-014 規約 5 追加</t>
        </is>
      </c>
      <c r="C70" s="6" t="inlineStr"/>
      <c r="D70" s="6" t="inlineStr">
        <is>
          <t>改善</t>
        </is>
      </c>
      <c r="E70" s="3" t="inlineStr">
        <is>
          <t>高</t>
        </is>
      </c>
      <c r="F70" s="6" t="inlineStr"/>
      <c r="G70" s="6" t="inlineStr"/>
      <c r="H70" s="6" t="inlineStr">
        <is>
          <t>2026-06-01</t>
        </is>
      </c>
      <c r="I70" s="6" t="inlineStr">
        <is>
          <t>SRS</t>
        </is>
      </c>
      <c r="J70" s="6" t="inlineStr"/>
      <c r="K70" s="6" t="inlineStr">
        <is>
          <t>対応完了</t>
        </is>
      </c>
      <c r="L70" s="6" t="inlineStr"/>
      <c r="M70" s="6" t="inlineStr"/>
      <c r="N70" s="6" t="inlineStr">
        <is>
          <t>データ辞書(3.4→2.2)移動、中間データ登録、全21FR入出力テーブル辞書名統一、ADR-SRS-014規約5追加</t>
        </is>
      </c>
      <c r="O70" s="6" t="inlineStr">
        <is>
          <t>2026-06-01</t>
        </is>
      </c>
      <c r="P70" s="6" t="inlineStr"/>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sheetData>
  <dataValidations count="5">
    <dataValidation sqref="K2:K77" showDropDown="0" showInputMessage="0" showErrorMessage="0" allowBlank="1" type="list">
      <formula1>"未対応,対応中,対応完了,解決済,却下"</formula1>
    </dataValidation>
    <dataValidation sqref="E2:E77" showDropDown="0" showInputMessage="0" showErrorMessage="0" allowBlank="1" type="list">
      <formula1>"高,中,低"</formula1>
    </dataValidation>
    <dataValidation sqref="D2:D77" showDropDown="0" showInputMessage="0" showErrorMessage="0" allowBlank="1" type="list">
      <formula1>"機能追加,改善,調査,設計"</formula1>
    </dataValidation>
    <dataValidation sqref="I2:I77" showDropDown="0" showInputMessage="0" showErrorMessage="0" allowBlank="1" type="list">
      <formula1>"URD,SRS,HLD,LLD,COD,UT,IT,ST,OPS"</formula1>
    </dataValidation>
    <dataValidation sqref="J2:J7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76</v>
      </c>
    </row>
    <row r="3">
      <c r="A3" s="10" t="inlineStr">
        <is>
          <t>未解決件数</t>
        </is>
      </c>
      <c r="B3" s="11" t="n">
        <v>42</v>
      </c>
    </row>
    <row r="4">
      <c r="A4" s="10" t="inlineStr">
        <is>
          <t>解決済件数</t>
        </is>
      </c>
      <c r="B4" s="11" t="n">
        <v>28</v>
      </c>
    </row>
    <row r="5">
      <c r="A5" s="10" t="inlineStr">
        <is>
          <t>解決率</t>
        </is>
      </c>
      <c r="B5" s="11" t="inlineStr">
        <is>
          <t>36.8%</t>
        </is>
      </c>
    </row>
    <row r="7">
      <c r="A7" s="8" t="inlineStr">
        <is>
          <t>ステータス別</t>
        </is>
      </c>
      <c r="B7" s="9" t="n"/>
    </row>
    <row r="8">
      <c r="A8" s="10" t="inlineStr">
        <is>
          <t>未対応</t>
        </is>
      </c>
      <c r="B8" s="11" t="n">
        <v>32</v>
      </c>
    </row>
    <row r="9">
      <c r="A9" s="10" t="inlineStr">
        <is>
          <t>対応中</t>
        </is>
      </c>
      <c r="B9" s="11" t="n">
        <v>0</v>
      </c>
    </row>
    <row r="10">
      <c r="A10" s="10" t="inlineStr">
        <is>
          <t>対応完了</t>
        </is>
      </c>
      <c r="B10" s="11" t="n">
        <v>10</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17</v>
      </c>
    </row>
    <row r="16">
      <c r="A16" s="10" t="inlineStr">
        <is>
          <t>中</t>
        </is>
      </c>
      <c r="B16" s="11" t="n">
        <v>18</v>
      </c>
    </row>
    <row r="17">
      <c r="A17" s="10" t="inlineStr">
        <is>
          <t>低</t>
        </is>
      </c>
      <c r="B17" s="11" t="n">
        <v>7</v>
      </c>
    </row>
    <row r="19">
      <c r="A19" s="8" t="inlineStr">
        <is>
          <t>種別別（未解決）</t>
        </is>
      </c>
      <c r="B19" s="9" t="n"/>
    </row>
    <row r="20">
      <c r="A20" s="10" t="inlineStr">
        <is>
          <t>機能追加</t>
        </is>
      </c>
      <c r="B20" s="11" t="n">
        <v>10</v>
      </c>
    </row>
    <row r="21">
      <c r="A21" s="10" t="inlineStr">
        <is>
          <t>改善</t>
        </is>
      </c>
      <c r="B21" s="11" t="n">
        <v>28</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10</v>
      </c>
    </row>
    <row r="32">
      <c r="A32" s="8" t="inlineStr">
        <is>
          <t>ステージ別（未解決）</t>
        </is>
      </c>
      <c r="B32" s="9" t="n"/>
    </row>
    <row r="33">
      <c r="A33" s="10" t="inlineStr">
        <is>
          <t>URD</t>
        </is>
      </c>
      <c r="B33" s="11" t="n">
        <v>1</v>
      </c>
    </row>
    <row r="34">
      <c r="A34" s="10" t="inlineStr">
        <is>
          <t>SRS</t>
        </is>
      </c>
      <c r="B34" s="11" t="n">
        <v>25</v>
      </c>
    </row>
    <row r="35">
      <c r="A35" s="10" t="inlineStr">
        <is>
          <t>HLD</t>
        </is>
      </c>
      <c r="B35" s="11" t="n">
        <v>5</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68</v>
      </c>
      <c r="C36" t="n">
        <v>41</v>
      </c>
      <c r="D36" t="n">
        <v>34</v>
      </c>
    </row>
    <row r="37">
      <c r="A37" t="inlineStr">
        <is>
          <t>2026-06-01</t>
        </is>
      </c>
      <c r="B37" t="n">
        <v>69</v>
      </c>
      <c r="C37" t="n">
        <v>42</v>
      </c>
      <c r="D37" t="n">
        <v>34</v>
      </c>
    </row>
    <row r="38">
      <c r="A38" t="inlineStr">
        <is>
          <t>2026-06-02</t>
        </is>
      </c>
      <c r="B38" t="n">
        <v>73</v>
      </c>
      <c r="C38" t="n">
        <v>42</v>
      </c>
      <c r="D38" t="n">
        <v>34</v>
      </c>
    </row>
    <row r="39">
      <c r="A39" t="inlineStr">
        <is>
          <t>2026-06-03</t>
        </is>
      </c>
      <c r="B39" t="n">
        <v>73</v>
      </c>
      <c r="C39" t="n">
        <v>42</v>
      </c>
      <c r="D39" t="n">
        <v>34</v>
      </c>
    </row>
    <row r="40">
      <c r="A40" t="inlineStr">
        <is>
          <t>2026-06-04</t>
        </is>
      </c>
      <c r="B40" t="n">
        <v>76</v>
      </c>
      <c r="C40" t="n">
        <v>42</v>
      </c>
      <c r="D40"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2026-06-04T08:13:13Z</dcterms:created>
  <dcterms:modified xsi:type="dcterms:W3CDTF">2026-06-04T08:13:13Z</dcterms:modified>
</cp:coreProperties>
</file>