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'収束グラフ'!$A$2:$A$54</f>
            </strRef>
          </cat>
          <val>
            <numRef>
              <f>'収束グラフ'!$B$2:$B$54</f>
            </numRef>
          </val>
        </ser>
        <ser>
          <idx val="1"/>
          <order val="1"/>
          <tx>
            <strRef>
              <f>'収束グラフ'!C1</f>
            </strRef>
          </tx>
          <spPr>
            <a:ln w="20000">
              <a:solidFill>
                <a:srgbClr val="4472C4"/>
              </a:solidFill>
              <a:prstDash val="solid"/>
            </a:ln>
          </spPr>
          <marker>
            <symbol val="none"/>
            <spPr>
              <a:ln>
                <a:prstDash val="solid"/>
              </a:ln>
            </spPr>
          </marker>
          <cat>
            <strRef>
              <f>'収束グラフ'!$A$2:$A$54</f>
            </strRef>
          </cat>
          <val>
            <numRef>
              <f>'収束グラフ'!$C$2:$C$54</f>
            </numRef>
          </val>
        </ser>
        <ser>
          <idx val="2"/>
          <order val="2"/>
          <tx>
            <strRef>
              <f>'収束グラフ'!D1</f>
            </strRef>
          </tx>
          <spPr>
            <a:ln w="20000">
              <a:solidFill>
                <a:srgbClr val="70AD47"/>
              </a:solidFill>
              <a:prstDash val="solid"/>
            </a:ln>
          </spPr>
          <marker>
            <symbol val="none"/>
            <spPr>
              <a:ln>
                <a:prstDash val="solid"/>
              </a:ln>
            </spPr>
          </marker>
          <cat>
            <strRef>
              <f>'収束グラフ'!$A$2:$A$54</f>
            </strRef>
          </cat>
          <val>
            <numRef>
              <f>'収束グラフ'!$D$2:$D$54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is>
          <t>2026-06-15</t>
        </is>
      </c>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is>
          <t>2026-06-15</t>
        </is>
      </c>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is>
          <t>2026-06-15</t>
        </is>
      </c>
      <c r="P102" s="6" t="inlineStr"/>
    </row>
    <row r="103" ht="40" customHeight="1">
      <c r="A103" s="7" t="inlineStr">
        <is>
          <t>ISSUE-103</t>
        </is>
      </c>
      <c r="B103" s="7" t="inlineStr">
        <is>
          <t>FR-008統合対象メッシュコードリストの入力分離（フィルタ用途とexpected_count基準の分離）</t>
        </is>
      </c>
      <c r="C103" s="7"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7" t="inlineStr">
        <is>
          <t>設計</t>
        </is>
      </c>
      <c r="E103" s="4" t="inlineStr">
        <is>
          <t>中</t>
        </is>
      </c>
      <c r="F103" s="7" t="inlineStr">
        <is>
          <t>merge.py</t>
        </is>
      </c>
      <c r="G103" s="7" t="inlineStr">
        <is>
          <t>Opus</t>
        </is>
      </c>
      <c r="H103" s="7" t="inlineStr">
        <is>
          <t>2026-06-16</t>
        </is>
      </c>
      <c r="I103" s="7" t="inlineStr">
        <is>
          <t>SRS</t>
        </is>
      </c>
      <c r="J103" s="7" t="inlineStr"/>
      <c r="K103" s="7" t="inlineStr">
        <is>
          <t>対応完了</t>
        </is>
      </c>
      <c r="L103" s="7" t="inlineStr"/>
      <c r="M103" s="7" t="inlineStr">
        <is>
          <t>ADR-SRS-023として記録。SRS FR-008/FR-022/データ辞書7.2へ反映済み。</t>
        </is>
      </c>
      <c r="N103" s="7" t="inlineStr">
        <is>
          <t>Opus 4.8によるレビュー討議で決着。</t>
        </is>
      </c>
      <c r="O103" s="7" t="inlineStr">
        <is>
          <t>2026-06-16</t>
        </is>
      </c>
      <c r="P103" s="7" t="inlineStr"/>
    </row>
    <row r="104" ht="40" customHeight="1">
      <c r="A104" s="6" t="inlineStr">
        <is>
          <t>ISSUE-104</t>
        </is>
      </c>
      <c r="B104" s="6" t="inlineStr">
        <is>
          <t>FR-018 を FR-008 とセットでループ内再入させ merged_peak.csv で絞る</t>
        </is>
      </c>
      <c r="C104" s="6"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6" t="inlineStr">
        <is>
          <t>設計</t>
        </is>
      </c>
      <c r="E104" s="3" t="inlineStr">
        <is>
          <t>高</t>
        </is>
      </c>
      <c r="F104" s="6" t="inlineStr">
        <is>
          <t>GeoJSON出力</t>
        </is>
      </c>
      <c r="G104" s="6" t="inlineStr">
        <is>
          <t>Opus</t>
        </is>
      </c>
      <c r="H104" s="6" t="inlineStr">
        <is>
          <t>2026-06-16</t>
        </is>
      </c>
      <c r="I104" s="6" t="inlineStr">
        <is>
          <t>SRS</t>
        </is>
      </c>
      <c r="J104" s="6" t="inlineStr"/>
      <c r="K104" s="6" t="inlineStr">
        <is>
          <t>対応完了</t>
        </is>
      </c>
      <c r="L104" s="6" t="inlineStr">
        <is>
          <t>Opus</t>
        </is>
      </c>
      <c r="M104" s="6" t="inlineStr">
        <is>
          <t>ADR-SRS-024（fr018-loop-reentry-and-peak-filter）で決定。SRS本文へ反映後 close。</t>
        </is>
      </c>
      <c r="N104" s="6" t="inlineStr"/>
      <c r="O104" s="6" t="inlineStr">
        <is>
          <t>2026-06-16</t>
        </is>
      </c>
      <c r="P104" s="6" t="inlineStr"/>
    </row>
    <row r="105" ht="40" customHeight="1">
      <c r="A105" s="7" t="inlineStr">
        <is>
          <t>ISSUE-105</t>
        </is>
      </c>
      <c r="B105" s="7" t="inlineStr">
        <is>
          <t>中間成果物の可視化検証要件（観測可能性）をURDに追加</t>
        </is>
      </c>
      <c r="C105" s="7"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7" t="inlineStr">
        <is>
          <t>設計</t>
        </is>
      </c>
      <c r="E105" s="3" t="inlineStr">
        <is>
          <t>高</t>
        </is>
      </c>
      <c r="F105" s="7" t="inlineStr">
        <is>
          <t>GeoJSON出力</t>
        </is>
      </c>
      <c r="G105" s="7" t="inlineStr">
        <is>
          <t>Opus</t>
        </is>
      </c>
      <c r="H105" s="7" t="inlineStr">
        <is>
          <t>2026-06-16</t>
        </is>
      </c>
      <c r="I105" s="7" t="inlineStr">
        <is>
          <t>URD</t>
        </is>
      </c>
      <c r="J105" s="7" t="inlineStr"/>
      <c r="K105" s="7" t="inlineStr">
        <is>
          <t>対応完了</t>
        </is>
      </c>
      <c r="L105" s="7" t="inlineStr">
        <is>
          <t>Sonnet</t>
        </is>
      </c>
      <c r="M105" s="7" t="inlineStr">
        <is>
          <t>UR-013新設・ADR-URD-016作成で決着。</t>
        </is>
      </c>
      <c r="N105" s="7" t="inlineStr"/>
      <c r="O105" s="7" t="inlineStr">
        <is>
          <t>2026-06-16</t>
        </is>
      </c>
      <c r="P105" s="7" t="inlineStr"/>
    </row>
    <row r="106" ht="40" customHeight="1">
      <c r="A106" s="6" t="inlineStr">
        <is>
          <t>ISSUE-106</t>
        </is>
      </c>
      <c r="B106" s="6" t="inlineStr">
        <is>
          <t>UR-013（中間可視化）を満たすSRS設計 — ピーク↔コル対応の表示方式検討</t>
        </is>
      </c>
      <c r="C106" s="6"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6" t="inlineStr">
        <is>
          <t>設計</t>
        </is>
      </c>
      <c r="E106" s="4" t="inlineStr">
        <is>
          <t>中</t>
        </is>
      </c>
      <c r="F106" s="6" t="inlineStr">
        <is>
          <t>GeoJSON出力</t>
        </is>
      </c>
      <c r="G106" s="6" t="inlineStr">
        <is>
          <t>Opus</t>
        </is>
      </c>
      <c r="H106" s="6" t="inlineStr">
        <is>
          <t>2026-06-16</t>
        </is>
      </c>
      <c r="I106" s="6" t="inlineStr">
        <is>
          <t>SRS</t>
        </is>
      </c>
      <c r="J106" s="6" t="inlineStr"/>
      <c r="K106" s="6" t="inlineStr">
        <is>
          <t>対応完了</t>
        </is>
      </c>
      <c r="L106" s="6" t="inlineStr"/>
      <c r="M106" s="6" t="inlineStr"/>
      <c r="N106" s="6" t="inlineStr"/>
      <c r="O106" s="6" t="inlineStr">
        <is>
          <t>2026-06-18</t>
        </is>
      </c>
      <c r="P106" s="6" t="inlineStr"/>
    </row>
    <row r="107" ht="40" customHeight="1">
      <c r="A107" s="7" t="inlineStr">
        <is>
          <t>ISSUE-107</t>
        </is>
      </c>
      <c r="B107" s="7" t="inlineStr">
        <is>
          <t>UR-013（観測可能性）をSRSに反映 — NFR-009新設・FR-018トレース追加・ADR-SRS-025作成</t>
        </is>
      </c>
      <c r="C107" s="7"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7" t="inlineStr">
        <is>
          <t>設計</t>
        </is>
      </c>
      <c r="E107" s="3" t="inlineStr">
        <is>
          <t>高</t>
        </is>
      </c>
      <c r="F107" s="7" t="inlineStr">
        <is>
          <t>その他</t>
        </is>
      </c>
      <c r="G107" s="7" t="inlineStr">
        <is>
          <t>Sonnet</t>
        </is>
      </c>
      <c r="H107" s="7" t="inlineStr">
        <is>
          <t>2026-06-17</t>
        </is>
      </c>
      <c r="I107" s="7" t="inlineStr">
        <is>
          <t>SRS</t>
        </is>
      </c>
      <c r="J107" s="7" t="inlineStr">
        <is>
          <t>SRS</t>
        </is>
      </c>
      <c r="K107" s="7" t="inlineStr">
        <is>
          <t>対応完了</t>
        </is>
      </c>
      <c r="L107" s="7" t="inlineStr"/>
      <c r="M107" s="7" t="inlineStr"/>
      <c r="N107" s="7" t="inlineStr"/>
      <c r="O107" s="7" t="inlineStr">
        <is>
          <t>2026-06-17</t>
        </is>
      </c>
      <c r="P107" s="7" t="inlineStr"/>
    </row>
  </sheetData>
  <dataValidations count="5">
    <dataValidation sqref="K2:K107" showDropDown="0" showInputMessage="0" showErrorMessage="0" allowBlank="1" type="list">
      <formula1>"未対応,対応中,対応完了,解決済,却下"</formula1>
    </dataValidation>
    <dataValidation sqref="E2:E107" showDropDown="0" showInputMessage="0" showErrorMessage="0" allowBlank="1" type="list">
      <formula1>"高,中,低"</formula1>
    </dataValidation>
    <dataValidation sqref="D2:D107" showDropDown="0" showInputMessage="0" showErrorMessage="0" allowBlank="1" type="list">
      <formula1>"機能追加,改善,調査,設計"</formula1>
    </dataValidation>
    <dataValidation sqref="I2:I107" showDropDown="0" showInputMessage="0" showErrorMessage="0" allowBlank="1" type="list">
      <formula1>"URD,SRS,HLD,LLD,COD,UT,IT,ST,OPS"</formula1>
    </dataValidation>
    <dataValidation sqref="J2:J10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106</v>
      </c>
    </row>
    <row r="3">
      <c r="A3" s="10" t="inlineStr">
        <is>
          <t>未解決件数</t>
        </is>
      </c>
      <c r="B3" s="11" t="n">
        <v>30</v>
      </c>
    </row>
    <row r="4">
      <c r="A4" s="10" t="inlineStr">
        <is>
          <t>解決済件数</t>
        </is>
      </c>
      <c r="B4" s="11" t="n">
        <v>59</v>
      </c>
    </row>
    <row r="5">
      <c r="A5" s="10" t="inlineStr">
        <is>
          <t>解決率</t>
        </is>
      </c>
      <c r="B5" s="11" t="inlineStr">
        <is>
          <t>55.7%</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8</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15</v>
      </c>
    </row>
    <row r="16">
      <c r="A16" s="10" t="inlineStr">
        <is>
          <t>中</t>
        </is>
      </c>
      <c r="B16" s="11" t="n">
        <v>12</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7</v>
      </c>
    </row>
    <row r="25">
      <c r="A25" s="8" t="inlineStr">
        <is>
          <t>カテゴリ別（未解決）</t>
        </is>
      </c>
      <c r="B25" s="9" t="n"/>
    </row>
    <row r="26">
      <c r="A26" s="10" t="inlineStr">
        <is>
          <t>解析エンジン</t>
        </is>
      </c>
      <c r="B26" s="11" t="n">
        <v>4</v>
      </c>
    </row>
    <row r="27">
      <c r="A27" s="10" t="inlineStr">
        <is>
          <t>merge.py</t>
        </is>
      </c>
      <c r="B27" s="11" t="n">
        <v>3</v>
      </c>
    </row>
    <row r="28">
      <c r="A28" s="10" t="inlineStr">
        <is>
          <t>GeoJSON出力</t>
        </is>
      </c>
      <c r="B28" s="11" t="n">
        <v>6</v>
      </c>
    </row>
    <row r="29">
      <c r="A29" s="10" t="inlineStr">
        <is>
          <t>その他</t>
        </is>
      </c>
      <c r="B29" s="11" t="n">
        <v>5</v>
      </c>
    </row>
    <row r="31">
      <c r="A31" s="8" t="inlineStr">
        <is>
          <t>ステージ別（未解決）</t>
        </is>
      </c>
      <c r="B31" s="9" t="n"/>
    </row>
    <row r="32">
      <c r="A32" s="10" t="inlineStr">
        <is>
          <t>URD</t>
        </is>
      </c>
      <c r="B32" s="11" t="n">
        <v>1</v>
      </c>
    </row>
    <row r="33">
      <c r="A33" s="10" t="inlineStr">
        <is>
          <t>SRS</t>
        </is>
      </c>
      <c r="B33" s="11" t="n">
        <v>27</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106</v>
      </c>
      <c r="C54" t="n">
        <v>70</v>
      </c>
      <c r="D54"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2026-06-18T00:33:20Z</dcterms:created>
  <dcterms:modified xsi:type="dcterms:W3CDTF">2026-06-18T00:33:20Z</dcterms:modified>
</cp:coreProperties>
</file>