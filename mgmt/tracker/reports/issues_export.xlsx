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'収束グラフ'!$A$2:$A$44</f>
            </strRef>
          </cat>
          <val>
            <numRef>
              <f>'収束グラフ'!$B$2:$B$44</f>
            </numRef>
          </val>
        </ser>
        <ser>
          <idx val="1"/>
          <order val="1"/>
          <tx>
            <strRef>
              <f>'収束グラフ'!C1</f>
            </strRef>
          </tx>
          <spPr>
            <a:ln w="20000">
              <a:solidFill>
                <a:srgbClr val="4472C4"/>
              </a:solidFill>
              <a:prstDash val="solid"/>
            </a:ln>
          </spPr>
          <marker>
            <symbol val="none"/>
            <spPr>
              <a:ln>
                <a:prstDash val="solid"/>
              </a:ln>
            </spPr>
          </marker>
          <cat>
            <strRef>
              <f>'収束グラフ'!$A$2:$A$44</f>
            </strRef>
          </cat>
          <val>
            <numRef>
              <f>'収束グラフ'!$C$2:$C$44</f>
            </numRef>
          </val>
        </ser>
        <ser>
          <idx val="2"/>
          <order val="2"/>
          <tx>
            <strRef>
              <f>'収束グラフ'!D1</f>
            </strRef>
          </tx>
          <spPr>
            <a:ln w="20000">
              <a:solidFill>
                <a:srgbClr val="70AD47"/>
              </a:solidFill>
              <a:prstDash val="solid"/>
            </a:ln>
          </spPr>
          <marker>
            <symbol val="none"/>
            <spPr>
              <a:ln>
                <a:prstDash val="solid"/>
              </a:ln>
            </spPr>
          </marker>
          <cat>
            <strRef>
              <f>'収束グラフ'!$A$2:$A$44</f>
            </strRef>
          </cat>
          <val>
            <numRef>
              <f>'収束グラフ'!$D$2:$D$44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is>
          <t>SRS</t>
        </is>
      </c>
      <c r="K76" s="6" t="inlineStr">
        <is>
          <t>未対応</t>
        </is>
      </c>
      <c r="L76" s="6" t="inlineStr"/>
      <c r="M76" s="6" t="inlineStr"/>
      <c r="N76" s="6" t="inlineStr"/>
      <c r="O76" s="6" t="inlineStr"/>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7" t="inlineStr">
        <is>
          <t>ISSUE-082</t>
        </is>
      </c>
      <c r="B83" s="7" t="inlineStr">
        <is>
          <t>SRS/URD 全体の裸 FR-XXX/UR-XXX/NFR-XXX 参照の一括リンク化</t>
        </is>
      </c>
      <c r="C83" s="7"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7" t="inlineStr">
        <is>
          <t>改善</t>
        </is>
      </c>
      <c r="E83" s="5" t="inlineStr">
        <is>
          <t>低</t>
        </is>
      </c>
      <c r="F83" s="7" t="inlineStr"/>
      <c r="G83" s="7" t="inlineStr"/>
      <c r="H83" s="7" t="inlineStr">
        <is>
          <t>2026-06-08</t>
        </is>
      </c>
      <c r="I83" s="7" t="inlineStr">
        <is>
          <t>SRS</t>
        </is>
      </c>
      <c r="J83" s="7" t="inlineStr"/>
      <c r="K83" s="7" t="inlineStr">
        <is>
          <t>未対応</t>
        </is>
      </c>
      <c r="L83" s="7" t="inlineStr"/>
      <c r="M83" s="7" t="inlineStr"/>
      <c r="N83" s="7" t="inlineStr">
        <is>
          <t>FR-015 レビュー（観点 G）の別 ISSUE として登録。CLAUDE.md のフォーマット標準『他 FR/UR/NFR/セクションへの参照は Markdown リンクで記述する』が根拠</t>
        </is>
      </c>
      <c r="O83" s="7" t="inlineStr"/>
      <c r="P83" s="7" t="inlineStr"/>
    </row>
    <row r="84" ht="40" customHeight="1">
      <c r="A84" s="6" t="inlineStr">
        <is>
          <t>ISSUE-083</t>
        </is>
      </c>
      <c r="B84" s="6" t="inlineStr">
        <is>
          <t>SRS 全 FR の入出力テーブル形式欄の一括見直し</t>
        </is>
      </c>
      <c r="C84" s="6"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6" t="inlineStr">
        <is>
          <t>改善</t>
        </is>
      </c>
      <c r="E84" s="5" t="inlineStr">
        <is>
          <t>低</t>
        </is>
      </c>
      <c r="F84" s="6" t="inlineStr"/>
      <c r="G84" s="6" t="inlineStr"/>
      <c r="H84" s="6" t="inlineStr">
        <is>
          <t>2026-06-08</t>
        </is>
      </c>
      <c r="I84" s="6" t="inlineStr">
        <is>
          <t>SRS</t>
        </is>
      </c>
      <c r="J84" s="6" t="inlineStr"/>
      <c r="K84" s="6" t="inlineStr">
        <is>
          <t>未対応</t>
        </is>
      </c>
      <c r="L84" s="6" t="inlineStr"/>
      <c r="M84" s="6" t="inlineStr"/>
      <c r="N84" s="6" t="inlineStr">
        <is>
          <t>FR-015 レビュー（観点 I）の別 ISSUE として登録。CLAUDE.md のフォーマット標準『入出力テーブルの形式欄はファイル形式・データ型のみを記載する』が根拠</t>
        </is>
      </c>
      <c r="O84" s="6" t="inlineStr"/>
      <c r="P84" s="6" t="inlineStr"/>
    </row>
    <row r="85" ht="40" customHeight="1">
      <c r="A85" s="7" t="inlineStr">
        <is>
          <t>ISSUE-084</t>
        </is>
      </c>
      <c r="B85" s="7" t="inlineStr">
        <is>
          <t>ピーク候補リスト・コル情報の内部トランザクション化検討</t>
        </is>
      </c>
      <c r="C85" s="7"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7" t="inlineStr">
        <is>
          <t>設計</t>
        </is>
      </c>
      <c r="E85" s="5" t="inlineStr">
        <is>
          <t>低</t>
        </is>
      </c>
      <c r="F85" s="7" t="inlineStr"/>
      <c r="G85" s="7" t="inlineStr"/>
      <c r="H85" s="7" t="inlineStr">
        <is>
          <t>2026-06-08</t>
        </is>
      </c>
      <c r="I85" s="7" t="inlineStr">
        <is>
          <t>SRS</t>
        </is>
      </c>
      <c r="J85" s="7" t="inlineStr"/>
      <c r="K85" s="7" t="inlineStr">
        <is>
          <t>未対応</t>
        </is>
      </c>
      <c r="L85" s="7" t="inlineStr"/>
      <c r="M85" s="7" t="inlineStr"/>
      <c r="N85" s="7" t="inlineStr">
        <is>
          <t>FR-015 レビュー（観点 H）の別 ISSUE として登録。解析範囲結合画像の内部トランザクション化（ISSUE-083 相当修正）との一貫性検討として登録</t>
        </is>
      </c>
      <c r="O85" s="7" t="inlineStr"/>
      <c r="P85" s="7" t="inlineStr"/>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7" t="inlineStr">
        <is>
          <t>ISSUE-086</t>
        </is>
      </c>
      <c r="B87" s="7" t="inlineStr">
        <is>
          <t>mesh_analyze.h 内コメント「Terrain-RGB PNG」の修正</t>
        </is>
      </c>
      <c r="C87" s="7"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7" t="inlineStr">
        <is>
          <t>改善</t>
        </is>
      </c>
      <c r="E87" s="5" t="inlineStr">
        <is>
          <t>低</t>
        </is>
      </c>
      <c r="F87" s="7" t="inlineStr"/>
      <c r="G87" s="7" t="inlineStr"/>
      <c r="H87" s="7" t="inlineStr">
        <is>
          <t>2026-06-08</t>
        </is>
      </c>
      <c r="I87" s="7" t="inlineStr">
        <is>
          <t>COD</t>
        </is>
      </c>
      <c r="J87" s="7" t="inlineStr"/>
      <c r="K87" s="7" t="inlineStr">
        <is>
          <t>未対応</t>
        </is>
      </c>
      <c r="L87" s="7" t="inlineStr"/>
      <c r="M87" s="7" t="inlineStr"/>
      <c r="N87" s="7" t="inlineStr">
        <is>
          <t>FR-015 レビュー（観点 B 実装側追従）の別 ISSUE として登録</t>
        </is>
      </c>
      <c r="O87" s="7" t="inlineStr"/>
      <c r="P87" s="7" t="inlineStr"/>
    </row>
  </sheetData>
  <dataValidations count="5">
    <dataValidation sqref="K2:K87" showDropDown="0" showInputMessage="0" showErrorMessage="0" allowBlank="1" type="list">
      <formula1>"未対応,対応中,対応完了,解決済,却下"</formula1>
    </dataValidation>
    <dataValidation sqref="E2:E87" showDropDown="0" showInputMessage="0" showErrorMessage="0" allowBlank="1" type="list">
      <formula1>"高,中,低"</formula1>
    </dataValidation>
    <dataValidation sqref="D2:D87" showDropDown="0" showInputMessage="0" showErrorMessage="0" allowBlank="1" type="list">
      <formula1>"機能追加,改善,調査,設計"</formula1>
    </dataValidation>
    <dataValidation sqref="I2:I87" showDropDown="0" showInputMessage="0" showErrorMessage="0" allowBlank="1" type="list">
      <formula1>"URD,SRS,HLD,LLD,COD,UT,IT,ST,OPS"</formula1>
    </dataValidation>
    <dataValidation sqref="J2:J8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86</v>
      </c>
    </row>
    <row r="3">
      <c r="A3" s="10" t="inlineStr">
        <is>
          <t>未解決件数</t>
        </is>
      </c>
      <c r="B3" s="11" t="n">
        <v>27</v>
      </c>
    </row>
    <row r="4">
      <c r="A4" s="10" t="inlineStr">
        <is>
          <t>解決済件数</t>
        </is>
      </c>
      <c r="B4" s="11" t="n">
        <v>42</v>
      </c>
    </row>
    <row r="5">
      <c r="A5" s="10" t="inlineStr">
        <is>
          <t>解決率</t>
        </is>
      </c>
      <c r="B5" s="11" t="inlineStr">
        <is>
          <t>48.8%</t>
        </is>
      </c>
    </row>
    <row r="7">
      <c r="A7" s="8" t="inlineStr">
        <is>
          <t>ステータス別</t>
        </is>
      </c>
      <c r="B7" s="9" t="n"/>
    </row>
    <row r="8">
      <c r="A8" s="10" t="inlineStr">
        <is>
          <t>未対応</t>
        </is>
      </c>
      <c r="B8" s="11" t="n">
        <v>27</v>
      </c>
    </row>
    <row r="9">
      <c r="A9" s="10" t="inlineStr">
        <is>
          <t>対応中</t>
        </is>
      </c>
      <c r="B9" s="11" t="n">
        <v>0</v>
      </c>
    </row>
    <row r="10">
      <c r="A10" s="10" t="inlineStr">
        <is>
          <t>対応完了</t>
        </is>
      </c>
      <c r="B10" s="11" t="n">
        <v>0</v>
      </c>
    </row>
    <row r="11">
      <c r="A11" s="10" t="inlineStr">
        <is>
          <t>解決済</t>
        </is>
      </c>
      <c r="B11" s="11" t="n">
        <v>42</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9</v>
      </c>
    </row>
    <row r="17">
      <c r="A17" s="10" t="inlineStr">
        <is>
          <t>低</t>
        </is>
      </c>
      <c r="B17" s="11" t="n">
        <v>7</v>
      </c>
    </row>
    <row r="19">
      <c r="A19" s="8" t="inlineStr">
        <is>
          <t>種別別（未解決）</t>
        </is>
      </c>
      <c r="B19" s="9" t="n"/>
    </row>
    <row r="20">
      <c r="A20" s="10" t="inlineStr">
        <is>
          <t>機能追加</t>
        </is>
      </c>
      <c r="B20" s="11" t="n">
        <v>9</v>
      </c>
    </row>
    <row r="21">
      <c r="A21" s="10" t="inlineStr">
        <is>
          <t>改善</t>
        </is>
      </c>
      <c r="B21" s="11" t="n">
        <v>16</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4</v>
      </c>
    </row>
    <row r="27">
      <c r="A27" s="10" t="inlineStr">
        <is>
          <t>merge.py</t>
        </is>
      </c>
      <c r="B27" s="11" t="n">
        <v>2</v>
      </c>
    </row>
    <row r="28">
      <c r="A28" s="10" t="inlineStr">
        <is>
          <t>GeoJSON出力</t>
        </is>
      </c>
      <c r="B28" s="11" t="n">
        <v>3</v>
      </c>
    </row>
    <row r="29">
      <c r="A29" s="10" t="inlineStr">
        <is>
          <t>その他</t>
        </is>
      </c>
      <c r="B29" s="11" t="n">
        <v>4</v>
      </c>
    </row>
    <row r="31">
      <c r="A31" s="8" t="inlineStr">
        <is>
          <t>ステージ別（未解決）</t>
        </is>
      </c>
      <c r="B31" s="9" t="n"/>
    </row>
    <row r="32">
      <c r="A32" s="10" t="inlineStr">
        <is>
          <t>SRS</t>
        </is>
      </c>
      <c r="B32" s="11" t="n">
        <v>24</v>
      </c>
    </row>
    <row r="33">
      <c r="A33" s="10" t="inlineStr">
        <is>
          <t>HLD</t>
        </is>
      </c>
      <c r="B33" s="11" t="n">
        <v>1</v>
      </c>
    </row>
    <row r="34">
      <c r="A34" s="10" t="inlineStr">
        <is>
          <t>COD</t>
        </is>
      </c>
      <c r="B34"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2026-06-08T06:31:18Z</dcterms:created>
  <dcterms:modified xsi:type="dcterms:W3CDTF">2026-06-08T06:31:19Z</dcterms:modified>
</cp:coreProperties>
</file>