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drawings/drawing1.xml" ContentType="application/vnd.openxmlformats-officedocument.drawing+xml"/>
  <Override PartName="/xl/charts/chart1.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課題一覧" sheetId="1" state="visible" r:id="rId1"/>
    <sheet name="サマリー" sheetId="2" state="visible" r:id="rId2"/>
    <sheet name="収束グラフ" sheetId="3" state="visible" r:id="rId3"/>
  </sheets>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name val="Arial"/>
      <b val="1"/>
      <color rgb="00FFFFFF"/>
      <sz val="10"/>
    </font>
    <font>
      <name val="Arial"/>
      <sz val="9"/>
    </font>
    <font>
      <name val="Arial"/>
      <b val="1"/>
      <sz val="9"/>
    </font>
  </fonts>
  <fills count="11">
    <fill>
      <patternFill/>
    </fill>
    <fill>
      <patternFill patternType="gray125"/>
    </fill>
    <fill>
      <patternFill patternType="solid">
        <fgColor rgb="001F4E79"/>
      </patternFill>
    </fill>
    <fill>
      <patternFill patternType="solid">
        <fgColor rgb="00F0F0F0"/>
      </patternFill>
    </fill>
    <fill>
      <patternFill patternType="solid">
        <fgColor rgb="00FFE0E0"/>
      </patternFill>
    </fill>
    <fill>
      <patternFill patternType="solid">
        <fgColor rgb="00EBF3FB"/>
      </patternFill>
    </fill>
    <fill>
      <patternFill patternType="solid">
        <fgColor rgb="00FFFBE0"/>
      </patternFill>
    </fill>
    <fill>
      <patternFill patternType="solid">
        <fgColor rgb="00E8F5E9"/>
      </patternFill>
    </fill>
    <fill>
      <patternFill patternType="solid">
        <fgColor rgb="00FFFFFF"/>
      </patternFill>
    </fill>
    <fill>
      <patternFill patternType="solid">
        <fgColor rgb="002E5D9E"/>
      </patternFill>
    </fill>
    <fill>
      <patternFill patternType="solid">
        <fgColor rgb="00F5F5F5"/>
      </patternFill>
    </fill>
  </fills>
  <borders count="2">
    <border>
      <left/>
      <right/>
      <top/>
      <bottom/>
      <diagonal/>
    </border>
    <border>
      <left style="thin">
        <color rgb="00BFBFBF"/>
      </left>
      <right style="thin">
        <color rgb="00BFBFBF"/>
      </right>
      <top style="thin">
        <color rgb="00BFBFBF"/>
      </top>
      <bottom style="thin">
        <color rgb="00BFBFBF"/>
      </bottom>
    </border>
  </borders>
  <cellStyleXfs count="1">
    <xf numFmtId="0" fontId="0" fillId="0" borderId="0"/>
  </cellStyleXfs>
  <cellXfs count="12">
    <xf numFmtId="0" fontId="0" fillId="0" borderId="0" pivotButton="0" quotePrefix="0" xfId="0"/>
    <xf numFmtId="0" fontId="1" fillId="2" borderId="1" applyAlignment="1" pivotButton="0" quotePrefix="0" xfId="0">
      <alignment horizontal="center" vertical="center"/>
    </xf>
    <xf numFmtId="0" fontId="2" fillId="3" borderId="1" applyAlignment="1" pivotButton="0" quotePrefix="0" xfId="0">
      <alignment horizontal="left" vertical="center" wrapText="1"/>
    </xf>
    <xf numFmtId="0" fontId="3" fillId="4" borderId="1" applyAlignment="1" pivotButton="0" quotePrefix="0" xfId="0">
      <alignment horizontal="left" vertical="center" wrapText="1"/>
    </xf>
    <xf numFmtId="0" fontId="2" fillId="5" borderId="1" applyAlignment="1" pivotButton="0" quotePrefix="0" xfId="0">
      <alignment horizontal="left" vertical="center" wrapText="1"/>
    </xf>
    <xf numFmtId="0" fontId="3" fillId="6" borderId="1" applyAlignment="1" pivotButton="0" quotePrefix="0" xfId="0">
      <alignment horizontal="left" vertical="center" wrapText="1"/>
    </xf>
    <xf numFmtId="0" fontId="3" fillId="7" borderId="1" applyAlignment="1" pivotButton="0" quotePrefix="0" xfId="0">
      <alignment horizontal="left" vertical="center" wrapText="1"/>
    </xf>
    <xf numFmtId="0" fontId="2" fillId="8" borderId="1" applyAlignment="1" pivotButton="0" quotePrefix="0" xfId="0">
      <alignment horizontal="left" vertical="center" wrapText="1"/>
    </xf>
    <xf numFmtId="0" fontId="1" fillId="9" borderId="1" applyAlignment="1" pivotButton="0" quotePrefix="0" xfId="0">
      <alignment horizontal="left" vertical="center"/>
    </xf>
    <xf numFmtId="0" fontId="0" fillId="9" borderId="1" pivotButton="0" quotePrefix="0" xfId="0"/>
    <xf numFmtId="0" fontId="3" fillId="10" borderId="1" applyAlignment="1" pivotButton="0" quotePrefix="0" xfId="0">
      <alignment horizontal="left" vertical="center"/>
    </xf>
    <xf numFmtId="0" fontId="2" fillId="8" borderId="1"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style val="10"/>
  <chart>
    <title>
      <tx>
        <rich>
          <a:bodyPr/>
          <a:p>
            <a:pPr>
              <a:defRPr/>
            </a:pPr>
            <a:r>
              <a:t>収束グラフ</a:t>
            </a:r>
          </a:p>
        </rich>
      </tx>
    </title>
    <plotArea>
      <lineChart>
        <grouping val="standard"/>
        <ser>
          <idx val="0"/>
          <order val="0"/>
          <tx>
            <strRef>
              <f>'収束グラフ'!B1</f>
            </strRef>
          </tx>
          <spPr>
            <a:ln w="20000">
              <a:solidFill>
                <a:srgbClr val="FF0000"/>
              </a:solidFill>
              <a:prstDash val="solid"/>
            </a:ln>
          </spPr>
          <marker>
            <symbol val="none"/>
            <spPr>
              <a:ln>
                <a:prstDash val="solid"/>
              </a:ln>
            </spPr>
          </marker>
          <cat>
            <strRef>
              <f>'収束グラフ'!$A$2:$A$27</f>
            </strRef>
          </cat>
          <val>
            <numRef>
              <f>'収束グラフ'!$B$2:$B$27</f>
            </numRef>
          </val>
        </ser>
        <ser>
          <idx val="1"/>
          <order val="1"/>
          <tx>
            <strRef>
              <f>'収束グラフ'!C1</f>
            </strRef>
          </tx>
          <spPr>
            <a:ln w="20000">
              <a:solidFill>
                <a:srgbClr val="4472C4"/>
              </a:solidFill>
              <a:prstDash val="solid"/>
            </a:ln>
          </spPr>
          <marker>
            <symbol val="none"/>
            <spPr>
              <a:ln>
                <a:prstDash val="solid"/>
              </a:ln>
            </spPr>
          </marker>
          <cat>
            <strRef>
              <f>'収束グラフ'!$A$2:$A$27</f>
            </strRef>
          </cat>
          <val>
            <numRef>
              <f>'収束グラフ'!$C$2:$C$27</f>
            </numRef>
          </val>
        </ser>
        <ser>
          <idx val="2"/>
          <order val="2"/>
          <tx>
            <strRef>
              <f>'収束グラフ'!D1</f>
            </strRef>
          </tx>
          <spPr>
            <a:ln w="20000">
              <a:solidFill>
                <a:srgbClr val="70AD47"/>
              </a:solidFill>
              <a:prstDash val="solid"/>
            </a:ln>
          </spPr>
          <marker>
            <symbol val="none"/>
            <spPr>
              <a:ln>
                <a:prstDash val="solid"/>
              </a:ln>
            </spPr>
          </marker>
          <cat>
            <strRef>
              <f>'収束グラフ'!$A$2:$A$27</f>
            </strRef>
          </cat>
          <val>
            <numRef>
              <f>'収束グラフ'!$D$2:$D$27</f>
            </numRef>
          </val>
        </ser>
        <axId val="10"/>
        <axId val="100"/>
      </lineChart>
      <catAx>
        <axId val="10"/>
        <scaling>
          <orientation val="minMax"/>
        </scaling>
        <axPos val="l"/>
        <title>
          <tx>
            <rich>
              <a:bodyPr/>
              <a:p>
                <a:pPr>
                  <a:defRPr/>
                </a:pPr>
                <a:r>
                  <a:t>日付</a:t>
                </a:r>
              </a:p>
            </rich>
          </tx>
        </title>
        <majorTickMark val="none"/>
        <minorTickMark val="none"/>
        <crossAx val="100"/>
        <lblOffset val="100"/>
      </catAx>
      <valAx>
        <axId val="100"/>
        <scaling>
          <orientation val="minMax"/>
          <min val="0"/>
        </scaling>
        <axPos val="l"/>
        <majorGridlines/>
        <title>
          <tx>
            <rich>
              <a:bodyPr/>
              <a:p>
                <a:pPr>
                  <a:defRPr/>
                </a:pPr>
                <a:r>
                  <a:t>累計数</a:t>
                </a:r>
              </a:p>
            </rich>
          </tx>
        </title>
        <numFmt formatCode="0" sourceLinked="0"/>
        <majorTickMark val="none"/>
        <minorTickMark val="none"/>
        <crossAx val="10"/>
      </valAx>
    </plotArea>
    <legend>
      <legendPos val="r"/>
    </legend>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5</col>
      <colOff>0</colOff>
      <row>1</row>
      <rowOff>0</rowOff>
    </from>
    <ext cx="7200000" cy="50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3.xml.rels><Relationships xmlns="http://schemas.openxmlformats.org/package/2006/relationships"><Relationship Type="http://schemas.openxmlformats.org/officeDocument/2006/relationships/drawing" Target="/xl/drawings/drawing1.xml" Id="rId1" /></Relationships>
</file>

<file path=xl/worksheets/sheet1.xml><?xml version="1.0" encoding="utf-8"?>
<worksheet xmlns="http://schemas.openxmlformats.org/spreadsheetml/2006/main">
  <sheetPr>
    <outlinePr summaryBelow="1" summaryRight="1"/>
    <pageSetUpPr/>
  </sheetPr>
  <dimension ref="A1:O47"/>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12" customWidth="1" min="1" max="1"/>
    <col width="40" customWidth="1" min="2" max="2"/>
    <col width="44" customWidth="1" min="3" max="3"/>
    <col width="12" customWidth="1" min="4" max="4"/>
    <col width="10" customWidth="1" min="5" max="5"/>
    <col width="16" customWidth="1" min="6" max="6"/>
    <col width="14" customWidth="1" min="7" max="7"/>
    <col width="14" customWidth="1" min="8" max="8"/>
    <col width="16" customWidth="1" min="9" max="9"/>
    <col width="12" customWidth="1" min="10" max="10"/>
    <col width="14" customWidth="1" min="11" max="11"/>
    <col width="30" customWidth="1" min="12" max="12"/>
    <col width="30" customWidth="1" min="13" max="13"/>
    <col width="14" customWidth="1" min="14" max="14"/>
    <col width="14" customWidth="1" min="15" max="15"/>
  </cols>
  <sheetData>
    <row r="1" ht="28" customHeight="1">
      <c r="A1" s="1" t="inlineStr">
        <is>
          <t>ID</t>
        </is>
      </c>
      <c r="B1" s="1" t="inlineStr">
        <is>
          <t>タイトル</t>
        </is>
      </c>
      <c r="C1" s="1" t="inlineStr">
        <is>
          <t>説明</t>
        </is>
      </c>
      <c r="D1" s="1" t="inlineStr">
        <is>
          <t>種別</t>
        </is>
      </c>
      <c r="E1" s="1" t="inlineStr">
        <is>
          <t>優先度</t>
        </is>
      </c>
      <c r="F1" s="1" t="inlineStr">
        <is>
          <t>カテゴリ</t>
        </is>
      </c>
      <c r="G1" s="1" t="inlineStr">
        <is>
          <t>報告者</t>
        </is>
      </c>
      <c r="H1" s="1" t="inlineStr">
        <is>
          <t>作成日</t>
        </is>
      </c>
      <c r="I1" s="1" t="inlineStr">
        <is>
          <t>発生ステージ</t>
        </is>
      </c>
      <c r="J1" s="1" t="inlineStr">
        <is>
          <t>ステータス</t>
        </is>
      </c>
      <c r="K1" s="1" t="inlineStr">
        <is>
          <t>担当者</t>
        </is>
      </c>
      <c r="L1" s="1" t="inlineStr">
        <is>
          <t>対応方針</t>
        </is>
      </c>
      <c r="M1" s="1" t="inlineStr">
        <is>
          <t>備考</t>
        </is>
      </c>
      <c r="N1" s="1" t="inlineStr">
        <is>
          <t>対応完了日</t>
        </is>
      </c>
      <c r="O1" s="1" t="inlineStr">
        <is>
          <t>解決確認日</t>
        </is>
      </c>
    </row>
    <row r="2" ht="40" customHeight="1">
      <c r="A2" s="2" t="inlineStr">
        <is>
          <t>ISSUE-001</t>
        </is>
      </c>
      <c r="B2" s="2" t="inlineStr">
        <is>
          <t>フルパイプ検証 ステップ3（merge.py 実行）</t>
        </is>
      </c>
      <c r="C2" s="2" t="inlineStr">
        <is>
          <t>9メッシュ（params/mesh_5339_neighbors.txt）を対象に merge.py を実行し、CSV統合・SOTA突合・bboxフィルタを検証する。matched/new/deleted の件数と unstable の割合を目視確認。tolerance_px の調整値もここで決定する。</t>
        </is>
      </c>
      <c r="D2" s="2" t="inlineStr">
        <is>
          <t>調査</t>
        </is>
      </c>
      <c r="E2" s="3" t="inlineStr">
        <is>
          <t>高</t>
        </is>
      </c>
      <c r="F2" s="2" t="inlineStr">
        <is>
          <t>merge.py</t>
        </is>
      </c>
      <c r="G2" s="2" t="inlineStr">
        <is>
          <t>JJ1XGO</t>
        </is>
      </c>
      <c r="H2" s="2" t="inlineStr">
        <is>
          <t>2026-04-27</t>
        </is>
      </c>
      <c r="I2" s="2" t="inlineStr">
        <is>
          <t>IT</t>
        </is>
      </c>
      <c r="J2" s="2" t="inlineStr">
        <is>
          <t>解決済</t>
        </is>
      </c>
      <c r="K2" s="2" t="inlineStr">
        <is>
          <t>JJ1XGO</t>
        </is>
      </c>
      <c r="L2" s="2" t="inlineStr">
        <is>
          <t>python3 scripts/merge.py --mesh-list params/mesh_5339_neighbors.txt を実行して結果確認</t>
        </is>
      </c>
      <c r="M2" s="2" t="inlineStr">
        <is>
          <t>ステップ1（prefetch）・ステップ2（findsummits 9メッシュ解析）は完了済み</t>
        </is>
      </c>
      <c r="N2" s="2" t="inlineStr">
        <is>
          <t>2026-04-26</t>
        </is>
      </c>
      <c r="O2" s="2" t="inlineStr">
        <is>
          <t>2026-05-17</t>
        </is>
      </c>
    </row>
    <row r="3" ht="40" customHeight="1">
      <c r="A3" s="2" t="inlineStr">
        <is>
          <t>ISSUE-002</t>
        </is>
      </c>
      <c r="B3" s="2" t="inlineStr">
        <is>
          <t>match_status 判定の merge.py 本実装</t>
        </is>
      </c>
      <c r="C3" s="2" t="inlineStr">
        <is>
          <t>現行の merge.py には match_status（NEW/MATCH/MOVED/ELEV_CHANGE/DELETED）の本実装が未完了。突合しきい値: 距離 ≤ 150m かつ標高差 &lt; 20m で同一サミットとみなす。DELETED は mesh_bbox() によるbbox内サミットのみ対象。</t>
        </is>
      </c>
      <c r="D3" s="2" t="inlineStr">
        <is>
          <t>機能追加</t>
        </is>
      </c>
      <c r="E3" s="3" t="inlineStr">
        <is>
          <t>高</t>
        </is>
      </c>
      <c r="F3" s="2" t="inlineStr">
        <is>
          <t>merge.py</t>
        </is>
      </c>
      <c r="G3" s="2" t="inlineStr">
        <is>
          <t>JJ1XGO</t>
        </is>
      </c>
      <c r="H3" s="2" t="inlineStr">
        <is>
          <t>2026-04-27</t>
        </is>
      </c>
      <c r="I3" s="2" t="inlineStr">
        <is>
          <t>COD</t>
        </is>
      </c>
      <c r="J3" s="2" t="inlineStr">
        <is>
          <t>却下</t>
        </is>
      </c>
      <c r="K3" s="2" t="inlineStr">
        <is>
          <t>JJ1XGO</t>
        </is>
      </c>
      <c r="L3" s="2" t="inlineStr"/>
      <c r="M3" s="2" t="inlineStr">
        <is>
          <t>ISSUE-001（ステップ3検証）の後に着手。突合列: match_status, summit_code, summit_name, peak_lat, peak_lon, peak_elev, col_lat, col_lon, col_elev, prominence, orig_lat, orig_lon, orig_elev</t>
        </is>
      </c>
      <c r="N3" s="2" t="inlineStr">
        <is>
          <t>2026-05-17</t>
        </is>
      </c>
      <c r="O3" s="2" t="inlineStr">
        <is>
          <t>2026-05-17</t>
        </is>
      </c>
    </row>
    <row r="4" ht="40" customHeight="1">
      <c r="A4" s="4" t="inlineStr">
        <is>
          <t>ISSUE-003</t>
        </is>
      </c>
      <c r="B4" s="4" t="inlineStr">
        <is>
          <t>output_xlsx.py 新規作成（申請用XLSX生成）</t>
        </is>
      </c>
      <c r="C4" s="4" t="inlineStr">
        <is>
          <t>openpyxl で SOTA申請用 XLSX を生成するスクリプト。新規シート(NEW)・変更シート(MOVED/ELEV_CHANGE)・削除シート(DELETED)・変更なしシート(MATCH)の4シート構成。prominence &lt; 150m の行は黄色ハイライト。</t>
        </is>
      </c>
      <c r="D4" s="4" t="inlineStr">
        <is>
          <t>機能追加</t>
        </is>
      </c>
      <c r="E4" s="3" t="inlineStr">
        <is>
          <t>高</t>
        </is>
      </c>
      <c r="F4" s="4" t="inlineStr">
        <is>
          <t>その他</t>
        </is>
      </c>
      <c r="G4" s="4" t="inlineStr">
        <is>
          <t>JJ1XGO</t>
        </is>
      </c>
      <c r="H4" s="4" t="inlineStr">
        <is>
          <t>2026-04-27</t>
        </is>
      </c>
      <c r="I4" s="4" t="inlineStr">
        <is>
          <t>COD</t>
        </is>
      </c>
      <c r="J4" s="4" t="inlineStr">
        <is>
          <t>未対応</t>
        </is>
      </c>
      <c r="K4" s="4" t="inlineStr">
        <is>
          <t>JJ1XGO</t>
        </is>
      </c>
      <c r="L4" s="4" t="inlineStr"/>
      <c r="M4" s="4" t="inlineStr">
        <is>
          <t>【2026-05-22 更新】MOVED/ELEV_CHANGE シート言及は廃止。最新仕様: 変更行 = is_band_change_candidate=true の matched ピーク（FR-011）。変更前標高=sota_alt_m、変更後標高=round(peak_elev)、山岳名は変更前後同値。根拠文は自動生成（FR-011 ※5参照）。名称変更申請は廃止されたため変更シートは標高バンド遷移のみ対象。</t>
        </is>
      </c>
      <c r="N4" s="4" t="inlineStr"/>
      <c r="O4" s="4" t="inlineStr"/>
    </row>
    <row r="5" ht="40" customHeight="1">
      <c r="A5" s="2" t="inlineStr">
        <is>
          <t>ISSUE-004</t>
        </is>
      </c>
      <c r="B5" s="2" t="inlineStr">
        <is>
          <t>output_geojson.py 新規作成（GeoJSON生成）</t>
        </is>
      </c>
      <c r="C5" s="2" t="inlineStr">
        <is>
          <t>地理院地図での目視確認用 GeoJSON を生成するスクリプト。Summit/Peak/Col ごとに Point Feature を生成。match_status 別アイコン/色（NEW=マゼンタ, MOVED=オレンジ, ELEV_CHANGE=水色, DELETED=グレー, MATCH=スコア色）。Summit→Peak, Peak→Col の LineString も追加。</t>
        </is>
      </c>
      <c r="D5" s="2" t="inlineStr">
        <is>
          <t>機能追加</t>
        </is>
      </c>
      <c r="E5" s="5" t="inlineStr">
        <is>
          <t>中</t>
        </is>
      </c>
      <c r="F5" s="2" t="inlineStr">
        <is>
          <t>GeoJSON出力</t>
        </is>
      </c>
      <c r="G5" s="2" t="inlineStr">
        <is>
          <t>JJ1XGO</t>
        </is>
      </c>
      <c r="H5" s="2" t="inlineStr">
        <is>
          <t>2026-04-27</t>
        </is>
      </c>
      <c r="I5" s="2" t="inlineStr">
        <is>
          <t>COD</t>
        </is>
      </c>
      <c r="J5" s="2" t="inlineStr">
        <is>
          <t>解決済</t>
        </is>
      </c>
      <c r="K5" s="2" t="inlineStr">
        <is>
          <t>JJ1XGO</t>
        </is>
      </c>
      <c r="L5" s="2" t="inlineStr"/>
      <c r="M5" s="2" t="inlineStr">
        <is>
          <t>SOTA スコア別色（MATCHのみ）: 10点=赤, 8点=黄, 6点=緑, 4点=シアン, 2点=青, 1点=紫</t>
        </is>
      </c>
      <c r="N5" s="2" t="inlineStr">
        <is>
          <t>2026-04-27</t>
        </is>
      </c>
      <c r="O5" s="2" t="inlineStr">
        <is>
          <t>2026-04-27</t>
        </is>
      </c>
    </row>
    <row r="6" ht="40" customHeight="1">
      <c r="A6" s="4" t="inlineStr">
        <is>
          <t>ISSUE-005</t>
        </is>
      </c>
      <c r="B6" s="4" t="inlineStr">
        <is>
          <t>九州・四国メッシュでの統合テスト</t>
        </is>
      </c>
      <c r="C6" s="4" t="inlineStr">
        <is>
          <t>フルパイプ検証（9メッシュ）が通った後、九州・四国メッシュで end-to-end テストを実施。findsummits4sotaja の過去結果（sotaJA_SummitPeakCol_All5.xlsx）と比較。許容差: ピーク座標 ±100m、標高 ±5m、プロミネンス ±20m。</t>
        </is>
      </c>
      <c r="D6" s="4" t="inlineStr">
        <is>
          <t>調査</t>
        </is>
      </c>
      <c r="E6" s="5" t="inlineStr">
        <is>
          <t>中</t>
        </is>
      </c>
      <c r="F6" s="4" t="inlineStr">
        <is>
          <t>解析エンジン</t>
        </is>
      </c>
      <c r="G6" s="4" t="inlineStr">
        <is>
          <t>JJ1XGO</t>
        </is>
      </c>
      <c r="H6" s="4" t="inlineStr">
        <is>
          <t>2026-04-27</t>
        </is>
      </c>
      <c r="I6" s="4" t="inlineStr">
        <is>
          <t>ST</t>
        </is>
      </c>
      <c r="J6" s="4" t="inlineStr">
        <is>
          <t>未対応</t>
        </is>
      </c>
      <c r="K6" s="4" t="inlineStr">
        <is>
          <t>JJ1XGO</t>
        </is>
      </c>
      <c r="L6" s="4" t="inlineStr"/>
      <c r="M6" s="4" t="inlineStr">
        <is>
          <t>複数メッシュ境界付近の既知の山が GeoJSON で正しく1件表示されることも確認。DEM5なしメッシュの DEM10 フォールバック結果の妥当性も確認。</t>
        </is>
      </c>
      <c r="N6" s="4" t="inlineStr"/>
      <c r="O6" s="4" t="inlineStr"/>
    </row>
    <row r="7" ht="40" customHeight="1">
      <c r="A7" s="2" t="inlineStr">
        <is>
          <t>ISSUE-006</t>
        </is>
      </c>
      <c r="B7" s="2" t="inlineStr">
        <is>
          <t>tolerance_px の調整（ステップ3結果を見て決定）</t>
        </is>
      </c>
      <c r="C7" s="2" t="inlineStr">
        <is>
          <t>現在 tolerance_px=0（完全一致）。ISSUE-001 のステップ3結果を確認してから適切な値を決定する。設定は fetch_config.ini で管理。</t>
        </is>
      </c>
      <c r="D7" s="2" t="inlineStr">
        <is>
          <t>改善</t>
        </is>
      </c>
      <c r="E7" s="5" t="inlineStr">
        <is>
          <t>中</t>
        </is>
      </c>
      <c r="F7" s="2" t="inlineStr">
        <is>
          <t>merge.py</t>
        </is>
      </c>
      <c r="G7" s="2" t="inlineStr">
        <is>
          <t>JJ1XGO</t>
        </is>
      </c>
      <c r="H7" s="2" t="inlineStr">
        <is>
          <t>2026-04-27</t>
        </is>
      </c>
      <c r="I7" s="2" t="inlineStr">
        <is>
          <t>IT</t>
        </is>
      </c>
      <c r="J7" s="2" t="inlineStr">
        <is>
          <t>却下</t>
        </is>
      </c>
      <c r="K7" s="2" t="inlineStr">
        <is>
          <t>JJ1XGO</t>
        </is>
      </c>
      <c r="L7" s="2" t="inlineStr"/>
      <c r="M7" s="2" t="inlineStr">
        <is>
          <t>ISSUE-001 完了後に着手</t>
        </is>
      </c>
      <c r="N7" s="2" t="inlineStr">
        <is>
          <t>2026-05-17</t>
        </is>
      </c>
      <c r="O7" s="2" t="inlineStr">
        <is>
          <t>2026-05-17</t>
        </is>
      </c>
    </row>
    <row r="8" ht="40" customHeight="1">
      <c r="A8" s="2" t="inlineStr">
        <is>
          <t>ISSUE-007</t>
        </is>
      </c>
      <c r="B8" s="2" t="inlineStr">
        <is>
          <t>run_all.sh の仕様確認・修正</t>
        </is>
      </c>
      <c r="C8" s="2" t="inlineStr">
        <is>
          <t>scripts/run_all.sh の仕様確認と必要に応じた修正。フルパイプ検証（9メッシュ）が通ってから実施する。</t>
        </is>
      </c>
      <c r="D8" s="2" t="inlineStr">
        <is>
          <t>改善</t>
        </is>
      </c>
      <c r="E8" s="6" t="inlineStr">
        <is>
          <t>低</t>
        </is>
      </c>
      <c r="F8" s="2" t="inlineStr">
        <is>
          <t>その他</t>
        </is>
      </c>
      <c r="G8" s="2" t="inlineStr">
        <is>
          <t>JJ1XGO</t>
        </is>
      </c>
      <c r="H8" s="2" t="inlineStr">
        <is>
          <t>2026-04-27</t>
        </is>
      </c>
      <c r="I8" s="2" t="inlineStr">
        <is>
          <t>OPS</t>
        </is>
      </c>
      <c r="J8" s="2" t="inlineStr">
        <is>
          <t>却下</t>
        </is>
      </c>
      <c r="K8" s="2" t="inlineStr">
        <is>
          <t>JJ1XGO</t>
        </is>
      </c>
      <c r="L8" s="2" t="inlineStr"/>
      <c r="M8" s="2" t="inlineStr">
        <is>
          <t>フルパイプ検証前に仕様を詰めても実行時の問題で仕様変更になりやすいため後回し</t>
        </is>
      </c>
      <c r="N8" s="2" t="inlineStr">
        <is>
          <t>2026-05-17</t>
        </is>
      </c>
      <c r="O8" s="2" t="inlineStr">
        <is>
          <t>2026-05-17</t>
        </is>
      </c>
    </row>
    <row r="9" ht="40" customHeight="1">
      <c r="A9" s="2" t="inlineStr">
        <is>
          <t>ISSUE-008</t>
        </is>
      </c>
      <c r="B9" s="2" t="inlineStr">
        <is>
          <t>申請用出力フェーズ着手前の設計確認（plan_v1.md との整合確認）</t>
        </is>
      </c>
      <c r="C9" s="2" t="inlineStr">
        <is>
          <t>plan_v1.md の Ph.2〜Ph.5 設計（別スクリプト構成）が現在のアーキテクチャ（merge.py 統合・output_xlsx.py / output_geojson.py 分離構成）に合っているかを確認・整合させる。ISSUE-003（output_xlsx.py）・ISSUE-004（output_geojson.py）の前提条件であり、着手前に必ず実施する。</t>
        </is>
      </c>
      <c r="D9" s="2" t="inlineStr">
        <is>
          <t>設計</t>
        </is>
      </c>
      <c r="E9" s="3" t="inlineStr">
        <is>
          <t>高</t>
        </is>
      </c>
      <c r="F9" s="2" t="inlineStr">
        <is>
          <t>その他</t>
        </is>
      </c>
      <c r="G9" s="2" t="inlineStr">
        <is>
          <t>JJ1XGO</t>
        </is>
      </c>
      <c r="H9" s="2" t="inlineStr">
        <is>
          <t>2026-04-27</t>
        </is>
      </c>
      <c r="I9" s="2" t="inlineStr">
        <is>
          <t>HLD</t>
        </is>
      </c>
      <c r="J9" s="2" t="inlineStr">
        <is>
          <t>却下</t>
        </is>
      </c>
      <c r="K9" s="2" t="inlineStr">
        <is>
          <t>JJ1XGO</t>
        </is>
      </c>
      <c r="L9" s="2" t="inlineStr"/>
      <c r="M9" s="2" t="inlineStr">
        <is>
          <t>plan_v1.md: .claude/mgmt/plan_v1.md</t>
        </is>
      </c>
      <c r="N9" s="2" t="inlineStr">
        <is>
          <t>2026-05-17</t>
        </is>
      </c>
      <c r="O9" s="2" t="inlineStr">
        <is>
          <t>2026-05-17</t>
        </is>
      </c>
    </row>
    <row r="10" ht="40" customHeight="1">
      <c r="A10" s="4" t="inlineStr">
        <is>
          <t>ISSUE-009</t>
        </is>
      </c>
      <c r="B10" s="4" t="inlineStr">
        <is>
          <t>新規サミット仮コードへの地域コード自動付与</t>
        </is>
      </c>
      <c r="C10" s="4" t="inlineStr">
        <is>
          <t>現在は仮コードが ZZ/ZZ-001 形式の連番。座標から都道府県を判定し、SOTA JA のアソシエーション/リージョンコード（北海道・本州・四国・九州）を仮コードに反映できるか実装を検討する。</t>
        </is>
      </c>
      <c r="D10" s="4" t="inlineStr">
        <is>
          <t>機能追加</t>
        </is>
      </c>
      <c r="E10" s="6" t="inlineStr">
        <is>
          <t>低</t>
        </is>
      </c>
      <c r="F10" s="4" t="inlineStr">
        <is>
          <t>merge.py</t>
        </is>
      </c>
      <c r="G10" s="4" t="inlineStr">
        <is>
          <t>JJ1XGO</t>
        </is>
      </c>
      <c r="H10" s="4" t="inlineStr">
        <is>
          <t>2026-04-27</t>
        </is>
      </c>
      <c r="I10" s="4" t="inlineStr">
        <is>
          <t>HLD</t>
        </is>
      </c>
      <c r="J10" s="4" t="inlineStr">
        <is>
          <t>未対応</t>
        </is>
      </c>
      <c r="K10" s="4" t="inlineStr">
        <is>
          <t>JJ1XGO</t>
        </is>
      </c>
      <c r="L10" s="4" t="inlineStr"/>
      <c r="M10" s="4" t="inlineStr">
        <is>
          <t>将来実装候補。フルパイプ検証・申請用出力フェーズ完了後に検討。</t>
        </is>
      </c>
      <c r="N10" s="4" t="inlineStr"/>
      <c r="O10" s="4" t="inlineStr"/>
    </row>
    <row r="11" ht="40" customHeight="1">
      <c r="A11" s="2" t="inlineStr">
        <is>
          <t>ISSUE-010</t>
        </is>
      </c>
      <c r="B11" s="2" t="inlineStr">
        <is>
          <t>セットアップ手順の整備（README・requirements.txt・.gitignore・CLAUDE.md）</t>
        </is>
      </c>
      <c r="C11" s="2" t="inlineStr">
        <is>
          <t>.venv仮想環境の導入に伴い、新規参加者がすぐに使い始められるよう以下を整備する。① scripts/requirements.txt 新規作成、② .gitignore に .venv/ 追記、③ README.md にセットアップ手順・プロジェクト概要を記載、④ CLAUDE.md に .venv/bin/python3 使用の旨を追記</t>
        </is>
      </c>
      <c r="D11" s="2" t="inlineStr">
        <is>
          <t>改善</t>
        </is>
      </c>
      <c r="E11" s="5" t="inlineStr">
        <is>
          <t>中</t>
        </is>
      </c>
      <c r="F11" s="2" t="inlineStr">
        <is>
          <t>設定</t>
        </is>
      </c>
      <c r="G11" s="2" t="inlineStr"/>
      <c r="H11" s="2" t="inlineStr">
        <is>
          <t>2026-04-28</t>
        </is>
      </c>
      <c r="I11" s="2" t="inlineStr">
        <is>
          <t>OPS</t>
        </is>
      </c>
      <c r="J11" s="2" t="inlineStr">
        <is>
          <t>解決済</t>
        </is>
      </c>
      <c r="K11" s="2" t="inlineStr">
        <is>
          <t>JJ1XGO</t>
        </is>
      </c>
      <c r="L11" s="2" t="inlineStr">
        <is>
          <t>requirements.txt・.gitignore・CLAUDE.md は小規模な編集。README.md は現状に合わせて内容を整理してから更新する</t>
        </is>
      </c>
      <c r="M11" s="2" t="inlineStr"/>
      <c r="N11" s="2" t="inlineStr">
        <is>
          <t>2026-05-17</t>
        </is>
      </c>
      <c r="O11" s="2" t="inlineStr">
        <is>
          <t>2026-05-17</t>
        </is>
      </c>
    </row>
    <row r="12" ht="40" customHeight="1">
      <c r="A12" s="2" t="inlineStr">
        <is>
          <t>ISSUE-011</t>
        </is>
      </c>
      <c r="B12" s="2" t="inlineStr">
        <is>
          <t>リリースブランチ運用ルールをCLAUDE.mdに明記</t>
        </is>
      </c>
      <c r="C12" s="2" t="inlineStr">
        <is>
          <t>devel→mainの直接マージ禁止、release/*ブランチを介す運用ルールをプロジェクトCLAUDE.mdに追記する</t>
        </is>
      </c>
      <c r="D12" s="2" t="inlineStr">
        <is>
          <t>改善</t>
        </is>
      </c>
      <c r="E12" s="5" t="inlineStr">
        <is>
          <t>中</t>
        </is>
      </c>
      <c r="F12" s="2" t="inlineStr">
        <is>
          <t>設定</t>
        </is>
      </c>
      <c r="G12" s="2" t="inlineStr"/>
      <c r="H12" s="2" t="inlineStr">
        <is>
          <t>2026-04-28</t>
        </is>
      </c>
      <c r="I12" s="2" t="inlineStr">
        <is>
          <t>OPS</t>
        </is>
      </c>
      <c r="J12" s="2" t="inlineStr">
        <is>
          <t>解決済</t>
        </is>
      </c>
      <c r="K12" s="2" t="inlineStr"/>
      <c r="L12" s="2" t="inlineStr">
        <is>
          <t>CLAUDE.mdのルールと制約セクションに追記</t>
        </is>
      </c>
      <c r="M12" s="2" t="inlineStr"/>
      <c r="N12" s="2" t="inlineStr">
        <is>
          <t>2026-04-28</t>
        </is>
      </c>
      <c r="O12" s="2" t="inlineStr">
        <is>
          <t>2026-05-17</t>
        </is>
      </c>
    </row>
    <row r="13" ht="40" customHeight="1">
      <c r="A13" s="2" t="inlineStr">
        <is>
          <t>ISSUE-012</t>
        </is>
      </c>
      <c r="B13" s="2" t="inlineStr">
        <is>
          <t>matched ピークの標高差扱いの方針決定</t>
        </is>
      </c>
      <c r="C13" s="2" t="inlineStr">
        <is>
          <t>match_status=matched かつ peak_elev と sota_alt_m に差異がある場合、申請書に「変更」として出力するか否か、また何m以上の差異を「変更」扱いにするかの閾値を決定する。</t>
        </is>
      </c>
      <c r="D13" s="2" t="inlineStr">
        <is>
          <t>設計</t>
        </is>
      </c>
      <c r="E13" s="5" t="inlineStr">
        <is>
          <t>中</t>
        </is>
      </c>
      <c r="F13" s="2" t="inlineStr"/>
      <c r="G13" s="2" t="inlineStr">
        <is>
          <t>JJ1XGO</t>
        </is>
      </c>
      <c r="H13" s="2" t="inlineStr">
        <is>
          <t>2026-05-08</t>
        </is>
      </c>
      <c r="I13" s="2" t="inlineStr">
        <is>
          <t>SRS</t>
        </is>
      </c>
      <c r="J13" s="2" t="inlineStr">
        <is>
          <t>解決済</t>
        </is>
      </c>
      <c r="K13" s="2" t="inlineStr"/>
      <c r="L13" s="2" t="inlineStr">
        <is>
          <t>スコープ外として対応しない。matched サミットの座標・標高変更は本プロジェクトでは自動識別しない。既存登録情報は概ね正しいと判断。URD UR-003・スコープ外セクションに反映済み。</t>
        </is>
      </c>
      <c r="M13" s="2" t="inlineStr"/>
      <c r="N13" s="2" t="inlineStr">
        <is>
          <t>2026-05-10</t>
        </is>
      </c>
      <c r="O13" s="2" t="inlineStr">
        <is>
          <t>2026-05-17</t>
        </is>
      </c>
    </row>
    <row r="14" ht="40" customHeight="1">
      <c r="A14" s="4" t="inlineStr">
        <is>
          <t>ISSUE-013</t>
        </is>
      </c>
      <c r="B14" s="4" t="inlineStr">
        <is>
          <t>prefetch_tiles.py の取得範囲を各メッシュの最小範囲に修正</t>
        </is>
      </c>
      <c r="C14" s="4" t="inlineStr">
        <is>
          <t>現在の enumerate_jobs() は隣接メッシュが mesh_set に含まれる場合にタイル取得範囲を拡張しているが、正しい仕様は各メッシュをカバーする最小範囲（mesh_to_tile_range(meshcode) のみ）のタイルを取得すること。隣接メッシュ拡張ロジック（nb not in mesh_set の分岐）を削除し、各メッシュ単独の範囲のみを取得するよう修正する。全176メッシュを一括取得する運用では境界付近のタイルが複数メッシュから重複取得されるが問題ない。</t>
        </is>
      </c>
      <c r="D14" s="4" t="inlineStr">
        <is>
          <t>改善</t>
        </is>
      </c>
      <c r="E14" s="5" t="inlineStr">
        <is>
          <t>中</t>
        </is>
      </c>
      <c r="F14" s="4" t="inlineStr"/>
      <c r="G14" s="4" t="inlineStr"/>
      <c r="H14" s="4" t="inlineStr">
        <is>
          <t>2026-05-08</t>
        </is>
      </c>
      <c r="I14" s="4" t="inlineStr">
        <is>
          <t>COD</t>
        </is>
      </c>
      <c r="J14" s="4" t="inlineStr">
        <is>
          <t>未対応</t>
        </is>
      </c>
      <c r="K14" s="4" t="inlineStr">
        <is>
          <t>JJ1XGO</t>
        </is>
      </c>
      <c r="L14" s="4" t="inlineStr"/>
      <c r="M14" s="4" t="inlineStr"/>
      <c r="N14" s="4" t="inlineStr"/>
      <c r="O14" s="4" t="inlineStr"/>
    </row>
    <row r="15" ht="40" customHeight="1">
      <c r="A15" s="2" t="inlineStr">
        <is>
          <t>ISSUE-014</t>
        </is>
      </c>
      <c r="B15" s="2" t="inlineStr">
        <is>
          <t>削除候補サミットの最近接検出ピーク特定</t>
        </is>
      </c>
      <c r="C15" s="2" t="inlineStr">
        <is>
          <t>deleted サミットが「どの検出ピークに最も近いか」をデータとして持ち、HTML ビューアと申請書で活用できるようにする。merge.py で全検出ピークとのハバーサイン距離を計算し最近接ピークを特定。追加カラム: dominant_peak_code / dominant_peak_dist_m。GeoJSON に LineString 追加。SRS コンテンツレビュー時（FR-009・FR-012・FR-013・FR-011）に合わせて仕様化・更新する。</t>
        </is>
      </c>
      <c r="D15" s="2" t="inlineStr">
        <is>
          <t>機能追加</t>
        </is>
      </c>
      <c r="E15" s="5" t="inlineStr">
        <is>
          <t>中</t>
        </is>
      </c>
      <c r="F15" s="2" t="inlineStr"/>
      <c r="G15" s="2" t="inlineStr"/>
      <c r="H15" s="2" t="inlineStr">
        <is>
          <t>2026-05-09</t>
        </is>
      </c>
      <c r="I15" s="2" t="inlineStr">
        <is>
          <t>SRS</t>
        </is>
      </c>
      <c r="J15" s="2" t="inlineStr">
        <is>
          <t>解決済</t>
        </is>
      </c>
      <c r="K15" s="2" t="inlineStr"/>
      <c r="L15" s="2" t="inlineStr">
        <is>
          <t>ADR-008 の dominant peak 特定アルゴリズムを全面改訂。タイブレーク: Haversine 最近接 → 最小プロミネンスに変更。フォールバック廃止（包含なし時はログ警告 + 処理中止）。SRS FR-009 の主ピーク特定ロジックも同様に更新。フラグ名 is_tile_top → key_col_unresolved にリネーム（SRS 全体・ADR-004・ADR-008・GLOSSARY の全箇所を更新）。実装コード（src/*.c 等）への追従は別タスク（本 ISSUE のスコープ外）。</t>
        </is>
      </c>
      <c r="M15" s="2" t="inlineStr">
        <is>
          <t>【設計変更 2026-05-19】タイブレーク「Haversine 最近接」を「最小プロミネンス」に変更。最小プロミネンスのピークが地形学的に delete 候補サミットと同一の局所的な隆起を表すため。フォールバック廃止: フェーズ3.5 広域再解析後に包含なしが残るのは陸地最高峰のみと想定され稀少なため、自動処理せず中止 + 個別対応とする。フラグ名 is_tile_top はタイル（256×256px）の最頂点と誤読されやすいため key_col_unresolved に改名。【追加変更 2026-05-19】さらに肯定形に統一するため key_col_unresolved → key_col_resolved、並列フラグ area_truncated → area_complete に再リネーム（共に true=正常 で真偽値方向を揃えた）。実装コード追従 ISSUE は今後起票予定。</t>
        </is>
      </c>
      <c r="N15" s="2" t="inlineStr">
        <is>
          <t>2026-05-10</t>
        </is>
      </c>
      <c r="O15" s="2" t="inlineStr">
        <is>
          <t>2026-05-20</t>
        </is>
      </c>
    </row>
    <row r="16" ht="40" customHeight="1">
      <c r="A16" s="2" t="inlineStr">
        <is>
          <t>ISSUE-015</t>
        </is>
      </c>
      <c r="B16" s="2" t="inlineStr">
        <is>
          <t>HTML ビューアでの山岳名入力・ブラウザ完結出力</t>
        </is>
      </c>
      <c r="C16" s="2" t="inlineStr">
        <is>
          <t>GitHub Pages 上の HTML ビューアで山岳名（JP/EN）を入力し、申請書 XLSX・CSV・GeoJSON をブラウザ内で完結生成・ダウンロードできるようにする。XLSX 生成は SheetJS（JS ライブラリ）を使用。入力した名称は localStorage に保持し、次回アクセス時も復元する。GeoJSON に申請書生成に必要な全データを含めることが前提。SRS コンテンツレビュー時（FR-013・FR-011・FR-012）に仕様化・更新する。</t>
        </is>
      </c>
      <c r="D16" s="2" t="inlineStr">
        <is>
          <t>機能追加</t>
        </is>
      </c>
      <c r="E16" s="5" t="inlineStr">
        <is>
          <t>中</t>
        </is>
      </c>
      <c r="F16" s="2" t="inlineStr"/>
      <c r="G16" s="2" t="inlineStr"/>
      <c r="H16" s="2" t="inlineStr">
        <is>
          <t>2026-05-09</t>
        </is>
      </c>
      <c r="I16" s="2" t="inlineStr">
        <is>
          <t>SRS</t>
        </is>
      </c>
      <c r="J16" s="2" t="inlineStr">
        <is>
          <t>解決済</t>
        </is>
      </c>
      <c r="K16" s="2" t="inlineStr"/>
      <c r="L16" s="2" t="inlineStr">
        <is>
          <t>GitHub Pages 公開ツールからローカル用HTMLビューア（docs/mockup/viewer_mockup.html）に方針変更。山岳名JP/EN入力フォームとlocalStorage保存を実装。FR-013に仕様として取り込み済み。</t>
        </is>
      </c>
      <c r="M16" s="2" t="inlineStr"/>
      <c r="N16" s="2" t="inlineStr">
        <is>
          <t>2026-05-13</t>
        </is>
      </c>
      <c r="O16" s="2" t="inlineStr">
        <is>
          <t>2026-05-17</t>
        </is>
      </c>
    </row>
    <row r="17" ht="40" customHeight="1">
      <c r="A17" s="7" t="inlineStr">
        <is>
          <t>ISSUE-016</t>
        </is>
      </c>
      <c r="B17" s="7" t="inlineStr">
        <is>
          <t>merge.py: --mesh-list 指定時は対象メッシュの CSV のみ読み込む</t>
        </is>
      </c>
      <c r="C17" s="7" t="inlineStr">
        <is>
          <t>現状は --mesh-list の有無に関わらず csv_dir 配下の全 CSV を glob で読み込む。SRS FR-008 の仕様に合わせ、--mesh-list 指定時は対象メッシュコードの CSV ファイルのみ読み込むよう load_peaks() を修正する。省略時は現行通り全 CSV を読み込む。</t>
        </is>
      </c>
      <c r="D17" s="7" t="inlineStr"/>
      <c r="E17" s="5" t="inlineStr">
        <is>
          <t>中</t>
        </is>
      </c>
      <c r="F17" s="7" t="inlineStr">
        <is>
          <t>merge.py</t>
        </is>
      </c>
      <c r="G17" s="7" t="inlineStr"/>
      <c r="H17" s="7" t="inlineStr">
        <is>
          <t>2026-05-09</t>
        </is>
      </c>
      <c r="I17" s="7" t="inlineStr">
        <is>
          <t>COD</t>
        </is>
      </c>
      <c r="J17" s="7" t="inlineStr">
        <is>
          <t>未対応</t>
        </is>
      </c>
      <c r="K17" s="7" t="inlineStr">
        <is>
          <t>Sonnet</t>
        </is>
      </c>
      <c r="L17" s="7" t="inlineStr"/>
      <c r="M17" s="7" t="inlineStr"/>
      <c r="N17" s="7" t="inlineStr"/>
      <c r="O17" s="7" t="inlineStr"/>
    </row>
    <row r="18" ht="40" customHeight="1">
      <c r="A18" s="2" t="inlineStr">
        <is>
          <t>ISSUE-017</t>
        </is>
      </c>
      <c r="B18" s="2" t="inlineStr">
        <is>
          <t>SRS: FR-008 と FR-009 の間に activation.geojson 統合ステップが必要</t>
        </is>
      </c>
      <c r="C18" s="2" t="inlineStr">
        <is>
          <t>FR-016 で出力される per-mesh の _activation.geojson を、FR-008 の per-mesh CSV 統合と同様に統合するステップが FR-009 の前に必要。FR-009 での point-in-polygon 突合時に統合済みの activation zone を参照できるようにする。SRS に新規 FR として追加するか FR-008 に含めるかを検討する。</t>
        </is>
      </c>
      <c r="D18" s="2" t="inlineStr"/>
      <c r="E18" s="5" t="inlineStr">
        <is>
          <t>中</t>
        </is>
      </c>
      <c r="F18" s="2" t="inlineStr">
        <is>
          <t>merge.py</t>
        </is>
      </c>
      <c r="G18" s="2" t="inlineStr"/>
      <c r="H18" s="2" t="inlineStr">
        <is>
          <t>2026-05-09</t>
        </is>
      </c>
      <c r="I18" s="2" t="inlineStr">
        <is>
          <t>SRS</t>
        </is>
      </c>
      <c r="J18" s="2" t="inlineStr">
        <is>
          <t>解決済</t>
        </is>
      </c>
      <c r="K18" s="2" t="inlineStr"/>
      <c r="L18" s="2" t="inlineStr">
        <is>
          <t>SRS に FR-018（activation.geojson 統合ステップ）を新設。フェーズ3を FR-008 → FR-018 → FR-014 の構成に再設計し、FR-009 の前に統合済み activation.geojson が参照できるよう仕様化。コミット 5b633f5（2026-05-09）で対応完了。</t>
        </is>
      </c>
      <c r="M18" s="2" t="inlineStr"/>
      <c r="N18" s="2" t="inlineStr">
        <is>
          <t>2026-05-09</t>
        </is>
      </c>
      <c r="O18" s="2" t="inlineStr">
        <is>
          <t>2026-05-17</t>
        </is>
      </c>
    </row>
    <row r="19" ht="40" customHeight="1">
      <c r="A19" s="2" t="inlineStr">
        <is>
          <t>ISSUE-018</t>
        </is>
      </c>
      <c r="B19" s="2" t="inlineStr">
        <is>
          <t>FR-009: match_status 判定順序・deleted 定義・dominant フォールバック整理</t>
        </is>
      </c>
      <c r="C19" s="2" t="inlineStr">
        <is>
          <t>URD/SRS レビュー指摘 H-1 + H-2 + H-3。SRS FR-009 の match_status 判定に関する3つの論理矛盾を統合的に解決する。
(1) H-1: matched / new / dominant の判定順序が SRS L318-321 に明示されていない。検出ピークの AZ 内に既存 SOTA サミット A があり、かつコル等高線内（AZ 外）に別の SOTA サミット B がある場合、matched と dominant の両方の条件を満たす。
(2) H-2: sota_summit feature の match_status='deleted' の定義文が SRS にも GLOSSARY にもない。消去法で導出する状態。
(3) H-3: dominant peak フォールバック（最近接ピーク採用）時、peak の match_status が dominant 定義（コル等高線内に SOTA サミットあり）を満たさない場合があり、紐付け先 peak の match_status と sota_summit の match_status の対応関係が崩れる。FR-013 のフィーチャ構成（new フィーチャは sota_summit を含まない）とも矛盾。</t>
        </is>
      </c>
      <c r="D19" s="2" t="inlineStr">
        <is>
          <t>設計</t>
        </is>
      </c>
      <c r="E19" s="3" t="inlineStr">
        <is>
          <t>高</t>
        </is>
      </c>
      <c r="F19" s="2" t="inlineStr">
        <is>
          <t>解析エンジン</t>
        </is>
      </c>
      <c r="G19" s="2" t="inlineStr"/>
      <c r="H19" s="2" t="inlineStr">
        <is>
          <t>2026-05-14</t>
        </is>
      </c>
      <c r="I19" s="2" t="inlineStr">
        <is>
          <t>SRS</t>
        </is>
      </c>
      <c r="J19" s="2" t="inlineStr">
        <is>
          <t>解決済</t>
        </is>
      </c>
      <c r="K19" s="2" t="inlineStr"/>
      <c r="L19" s="2" t="inlineStr">
        <is>
          <t>FR-009 に以下を追記:
(1) 判定順序を明示: ①AZ 内に SOTA → matched, ②コル等高線内に SOTA → dominant, ③それ以外 → new
(2) sota_summit feature の match_status を独立定義:
   matched = FR-010 スコープ内で AZ にマッチ
   deleted = FR-010 スコープ内で AZ にマッチせず
(3) ADR-008 フォールバック時の peak.match_status と sota_summit の対応関係を明確化。案A（peak も dominant に昇格）または案B（peak の match_status は変えず sota_summit を独立扱い・FR-013 フィーチャ構成テーブルを更新）から選定。
(4) GLOSSARY に '削除候補（deleted）' を追加。
(5) ADR-007 / ADR-008 とも整合チェック。</t>
        </is>
      </c>
      <c r="M19" s="2" t="inlineStr"/>
      <c r="N19" s="2" t="inlineStr">
        <is>
          <t>2026-05-16</t>
        </is>
      </c>
      <c r="O19" s="2" t="inlineStr">
        <is>
          <t>2026-05-17</t>
        </is>
      </c>
    </row>
    <row r="20" ht="40" customHeight="1">
      <c r="A20" s="2" t="inlineStr">
        <is>
          <t>ISSUE-019</t>
        </is>
      </c>
      <c r="B20" s="2" t="inlineStr">
        <is>
          <t>FR-009: 仮サミットコード採番順序の規定</t>
        </is>
      </c>
      <c r="C20" s="2" t="inlineStr">
        <is>
          <t>URD/SRS レビュー指摘 H-4。SRS L312-317 で仮サミットコード（JAx/XX-A01 形式）の採番ルールが '01 からリセット' とだけ書かれており、同一エリア内での連番付与順序（緯度降順／経度順／peak_elev 降順／座標タプル昇順等）が未定義。NFR-003（決定論的出力）を満たすには採番順序の確定が必須。また、解析対象メッシュリストの変更（再実行）で既存仮コードが安定するかの規定もない（ビューア localStorage との整合性に影響）。</t>
        </is>
      </c>
      <c r="D20" s="2" t="inlineStr">
        <is>
          <t>設計</t>
        </is>
      </c>
      <c r="E20" s="3" t="inlineStr">
        <is>
          <t>高</t>
        </is>
      </c>
      <c r="F20" s="2" t="inlineStr">
        <is>
          <t>merge.py</t>
        </is>
      </c>
      <c r="G20" s="2" t="inlineStr"/>
      <c r="H20" s="2" t="inlineStr">
        <is>
          <t>2026-05-14</t>
        </is>
      </c>
      <c r="I20" s="2" t="inlineStr">
        <is>
          <t>SRS</t>
        </is>
      </c>
      <c r="J20" s="2" t="inlineStr">
        <is>
          <t>解決済</t>
        </is>
      </c>
      <c r="K20" s="2" t="inlineStr"/>
      <c r="L20" s="2" t="inlineStr">
        <is>
          <t>FR-009 に追記:
(1) 採番順序を明示（推奨: peak_lat 降順 → peak_lon 昇順タイブレーク、または (peak_lat, peak_lon) 昇順タプル）
(2) 採番安定性ポリシーを規定（フル解析時のみ採番再生成 / 部分解析時は既存コード保持 / 等）
(3) NFR-003 とのトレース確認</t>
        </is>
      </c>
      <c r="M20" s="2" t="inlineStr">
        <is>
          <t>【Opus相談推奨】複数の独立した設計判断と副次的影響の整理が必要。
相談ポイント:
(1) 採番順序の選択肢比較（peak_lat降順→peak_lon昇順タイブレーク vs (peak_lat, peak_lon)昇順タプル vs その他）。実データでの順序安定性・可読性・申請書での扱いやすさを総合評価
(2) 採番安定性ポリシーの設計（フル解析時のみ採番再生成 / 部分解析時は既存コード保持 / その他）。将来の部分再実行ユースケース・ビューア localStorage との整合性・ユーザー混乱の回避を考慮
(3) (1)(2)の組み合わせがNFR-003（決定論的出力）と整合することの検証方法
(4) 既存仮コード割当がない初回実行と、再実行の境界ケースの扱い
【2026-05-20 訂正】対応完了コメントに記載した『プロミネンス降順 → peak_lat 降順 → peak_lon 昇順』は Claude の解釈ミス。正しくは『標高降順 → プロミネンス降順 → peak_lat 降順 → peak_lon 昇順』（標高が 1 次キー、プロミネンスは標高同値時のタイブレーク）。SRS FR-009 / NFR-003 も訂正済（commit にて反映）。</t>
        </is>
      </c>
      <c r="N20" s="2" t="inlineStr">
        <is>
          <t>2026-05-20</t>
        </is>
      </c>
      <c r="O20" s="2" t="inlineStr">
        <is>
          <t>2026-05-20</t>
        </is>
      </c>
    </row>
    <row r="21" ht="40" customHeight="1">
      <c r="A21" s="2" t="inlineStr">
        <is>
          <t>ISSUE-020</t>
        </is>
      </c>
      <c r="B21" s="2" t="inlineStr">
        <is>
          <t>FR-013 / FR-014: 手動調査待ちピークの GeoJSON フィーチャ扱い</t>
        </is>
      </c>
      <c r="C21" s="2" t="inlineStr">
        <is>
          <t>URD/SRS レビュー指摘 H-5。FR-014 で 5×5 エスカレーション後も is_tile_top=1 が残るピークは '手動調査待ち' としてフラグ維持のまま処理継続するが、このピークは:
(1) FR-016 によりコル等高線が生成されない（is_tile_top=1 はコル等高線非生成）
(2) FR-013 では new / dominant のフィーチャ構成にコル等高線が必須
ため矛盾する。area_truncated=true が 4×4 でも解消しなかったケースの挙動も FR-014 で未規定。</t>
        </is>
      </c>
      <c r="D21" s="2" t="inlineStr">
        <is>
          <t>設計</t>
        </is>
      </c>
      <c r="E21" s="3" t="inlineStr">
        <is>
          <t>高</t>
        </is>
      </c>
      <c r="F21" s="2" t="inlineStr">
        <is>
          <t>GeoJSON出力</t>
        </is>
      </c>
      <c r="G21" s="2" t="inlineStr"/>
      <c r="H21" s="2" t="inlineStr">
        <is>
          <t>2026-05-14</t>
        </is>
      </c>
      <c r="I21" s="2" t="inlineStr">
        <is>
          <t>SRS</t>
        </is>
      </c>
      <c r="J21" s="2" t="inlineStr">
        <is>
          <t>解決済</t>
        </is>
      </c>
      <c r="K21" s="2" t="inlineStr"/>
      <c r="L21" s="2" t="inlineStr">
        <is>
          <t>delete判定ゾーンポリゴン方式（max(col_elev, peak_elev - delete_zone_max_drop) 以上の Flood Fill）を採用し、コル等高線ポリゴンを廃止。実装可能な仕様レベルまで確定。
Phase A 完了（SRS / ADR / GLOSSARY 改修）:
- ADR-011 (delete判定ゾーンポリゴン採用) 新規作成
- ADR-007 / ADR-008 を delete判定ゾーン仕様に更新
- SRS FR-009 / FR-013 / FR-014 / FR-016 / 6.8 / 6.11 を delete判定ゾーン仕様に改修
- GLOSSARY に delete判定ゾーン用語追加、コル等高線ポリゴン削除
Phase B 完了（delete_zone_max_drop 実測確定）:
- analysis/sota_dem_elevation_diff.py 新規作成（4,600 件の JA サミットで abs(SOTA-DEM) を実測）
- 廃止サミット 86 件除外、有効 4,514 件の実測結果: 平均 2.09m / 最大 52.26m (JA/TK-014 大山)
- delete_zone_max_drop = 250m に確定（= 150 + ceil(52.26/50)*50）
- ADR-011 と SRS FR-016 を確定値で更新
Phase C-E（実装）は別 ISSUE に切り出して進める:
- ISSUE-040: C++/OpenCV で FR-016 実装（AZ + delete判定ゾーン、notes 更新済み）
- ISSUE-043: merge.py 改修（AZ/delete-zone PIP, 不備フラグ, exit code, dominant 改名）
- ISSUE-044: output_geojson.py 改修 + merged_viewer.html 実装
- ISSUE-045: params/config.ini.example に delete_zone_max_drop = 250 追加</t>
        </is>
      </c>
      <c r="M21" s="2" t="inlineStr">
        <is>
          <t>【議論結論 2026-05-21】
- 旧3案（A/B/C）は破棄。delete判定ゾーンポリゴン方式を採用。
- Flood Fill 閾値: max(col_elev, peak_elev - 250m) 以上（プロミネンス連動 + 250m キャップ）
- 250m の根拠: 暫定（感覚値）。Phase B で SOTA 全サミットの abs(SOTA標高-DEM標高) 分布から確定予定。
- 250m は config.ini パラメータ化（delete_zone_max_drop）。
- 既存サミットの判定: matched (AZ内) / delete (delete判定ゾーン内+AZ外) / unmatched (どちらでもない=エラー停止)
- unmatched 発生時は merge.py を non-zero exit、FR-013 (GeoJSON/HTML) 生成スキップ
- merged.csv に不備種別ごとの bool 列追加（is_unmatched_summit / is_area_incomplete / is_key_col_unresolved / is_out_of_range_summit / is_dem_invalid_summit）
- ADR-007 維持（peak.match_status は matched/dominant/new、ポリゴンだけ置換）
- ADR-008 維持（主ピーク特定はプロミネンス最小）
- FR-014 広域解析の役割をコル特定のみに縮小（delete判定ゾーンは 3×3 完結）
【段取り】ハイブリッド方式
1. Phase A: SRS 改修（250m は TBD で記述）→ ユーザーレビュー
2. Phase B: 250m 実データ検証 → 値確定
3. Phase A 微更新（TBD → 確定値）
4. Phase C-E: 実装（C エンジン → merge.py → output_geojson.py）
【影響範囲】
- docs/02_SRS.md FR-009/013/014/016
- docs/decisions/ADR-007/008（影響確認）
- docs/decisions/ADR-NNN-delete-zone-polygon.md（新規）
- docs/00_GLOSSARY.md
- src/analyze.c, src/mesh_analyze.c
- scripts/merge.py, scripts/output_geojson.py
- params/config.ini.example
【別 ISSUE 切り出し候補】
- area_complete=false ピークの隣接メッシュ合体問題
- area_complete スコープ明確化（AZ 用 / delete判定ゾーン用の分離）
- HTML ビューア（merged_viewer.html）実装範囲</t>
        </is>
      </c>
      <c r="N21" s="2" t="inlineStr">
        <is>
          <t>2026-05-21</t>
        </is>
      </c>
      <c r="O21" s="2" t="inlineStr">
        <is>
          <t>2026-05-22</t>
        </is>
      </c>
    </row>
    <row r="22" ht="40" customHeight="1">
      <c r="A22" s="2" t="inlineStr">
        <is>
          <t>ISSUE-021</t>
        </is>
      </c>
      <c r="B22" s="2" t="inlineStr">
        <is>
          <t>FR-014: 上書きスコープ（per-mesh 更新有無）の明確化</t>
        </is>
      </c>
      <c r="C22" s="2" t="inlineStr">
        <is>
          <t>URD/SRS レビュー指摘 M-1。FR-014 L287 で '再解析結果で統合済み CSV と merged_activation.geojson の該当レコードを上書き' とあるが、per-mesh CSV および &lt;meshcode&gt;_activation.geojson（中間ファイル）が更新されるか否か明示されていない。次回部分再実行時の挙動に影響する。</t>
        </is>
      </c>
      <c r="D22" s="2" t="inlineStr">
        <is>
          <t>改善</t>
        </is>
      </c>
      <c r="E22" s="5" t="inlineStr">
        <is>
          <t>中</t>
        </is>
      </c>
      <c r="F22" s="2" t="inlineStr">
        <is>
          <t>merge.py</t>
        </is>
      </c>
      <c r="G22" s="2" t="inlineStr"/>
      <c r="H22" s="2" t="inlineStr">
        <is>
          <t>2026-05-14</t>
        </is>
      </c>
      <c r="I22" s="2" t="inlineStr">
        <is>
          <t>SRS</t>
        </is>
      </c>
      <c r="J22" s="2" t="inlineStr">
        <is>
          <t>解決済</t>
        </is>
      </c>
      <c r="K22" s="2" t="inlineStr"/>
      <c r="L22" s="2" t="inlineStr">
        <is>
          <t>FR-014 出力節に以下のいずれかを明示:
案A: 'per-mesh ファイルは更新せず、merged.csv / merged_activation.geojson のみ更新'
案B: '中間ファイルも更新する'（再現性向上のため）</t>
        </is>
      </c>
      <c r="M22" s="2" t="inlineStr">
        <is>
          <t>【最終決定】FR-014 は縮小版パイプライン構造を採用:
- 広域 per-mesh CSV/GeoJSON を新規出力するのみ
- 通常 per-mesh ファイル（&lt;meshcode&gt;.csv / &lt;meshcode&gt;_activation.geojson）は更新しない
- merged.csv / merged_activation.geojson への差分上書きも行わない
- merged 更新は FR-008/FR-018 の再実行（重複排除ロジックで広域結果が代表に選ばれる）で自動的に実施
反映先: SRS FR-014 / FR-008 / FR-018、ADR-004 Decision「出力スコープ」</t>
        </is>
      </c>
      <c r="N22" s="2" t="inlineStr">
        <is>
          <t>2026-05-18</t>
        </is>
      </c>
      <c r="O22" s="2" t="inlineStr">
        <is>
          <t>2026-05-20</t>
        </is>
      </c>
    </row>
    <row r="23" ht="40" customHeight="1">
      <c r="A23" s="7" t="inlineStr">
        <is>
          <t>ISSUE-022</t>
        </is>
      </c>
      <c r="B23" s="7" t="inlineStr">
        <is>
          <t>FR-017: 北方領土タイル判定基準（タイル中心点）の明示</t>
        </is>
      </c>
      <c r="C23" s="7" t="inlineStr">
        <is>
          <t>URD/SRS レビュー指摘 M-2。FR-017 L125 で 'excluded_tiles.txt = ポリゴン内のタイル座標リスト' とあるが、'ポリゴン内' の判定基準（タイル中心点 / タイルの任意点 / タイルとポリゴンの交差）が SRS 本文で未規定。ADR-005 L47 では 'ポリゴン内に中心点が含まれる全タイル' と書かれているが SRS / GLOSSARY に反映されていない。</t>
        </is>
      </c>
      <c r="D23" s="7" t="inlineStr">
        <is>
          <t>改善</t>
        </is>
      </c>
      <c r="E23" s="5" t="inlineStr">
        <is>
          <t>中</t>
        </is>
      </c>
      <c r="F23" s="7" t="inlineStr">
        <is>
          <t>その他</t>
        </is>
      </c>
      <c r="G23" s="7" t="inlineStr"/>
      <c r="H23" s="7" t="inlineStr">
        <is>
          <t>2026-05-14</t>
        </is>
      </c>
      <c r="I23" s="7" t="inlineStr">
        <is>
          <t>SRS</t>
        </is>
      </c>
      <c r="J23" s="7" t="inlineStr">
        <is>
          <t>未対応</t>
        </is>
      </c>
      <c r="K23" s="7" t="inlineStr"/>
      <c r="L23" s="7" t="inlineStr">
        <is>
          <t>FR-017 に 'タイル中心点が北方領土6村ポリゴンに含まれるタイルを列挙' と明示し、ADR-005 と同じ規定を SRS に転記する。</t>
        </is>
      </c>
      <c r="M23" s="7" t="inlineStr"/>
      <c r="N23" s="7" t="inlineStr"/>
      <c r="O23" s="7" t="inlineStr"/>
    </row>
    <row r="24" ht="40" customHeight="1">
      <c r="A24" s="4" t="inlineStr">
        <is>
          <t>ISSUE-023</t>
        </is>
      </c>
      <c r="B24" s="4" t="inlineStr">
        <is>
          <t>NFR-003: 決定論性スコープから timestamp 除外を明記</t>
        </is>
      </c>
      <c r="C24" s="4" t="inlineStr">
        <is>
          <t>URD/SRS レビュー指摘 M-3。NFR-003 L527-529 で 'すべての出力が同一の内容になること' とあるが、merged.geojson の metadata.generated_at は実行時刻に依存するため完全な同一性は不可能。</t>
        </is>
      </c>
      <c r="D24" s="4" t="inlineStr">
        <is>
          <t>改善</t>
        </is>
      </c>
      <c r="E24" s="5" t="inlineStr">
        <is>
          <t>中</t>
        </is>
      </c>
      <c r="F24" s="4" t="inlineStr">
        <is>
          <t>その他</t>
        </is>
      </c>
      <c r="G24" s="4" t="inlineStr"/>
      <c r="H24" s="4" t="inlineStr">
        <is>
          <t>2026-05-14</t>
        </is>
      </c>
      <c r="I24" s="4" t="inlineStr">
        <is>
          <t>SRS</t>
        </is>
      </c>
      <c r="J24" s="4" t="inlineStr">
        <is>
          <t>未対応</t>
        </is>
      </c>
      <c r="K24" s="4" t="inlineStr"/>
      <c r="L24" s="4" t="inlineStr">
        <is>
          <t>NFR-003 に 'metadata.generated_at 等の実行時タイムスタンプを除き、ピーク座標・標高・突合結果・採番が同一であること' と除外規定を明記。</t>
        </is>
      </c>
      <c r="M24" s="4" t="inlineStr"/>
      <c r="N24" s="4" t="inlineStr"/>
      <c r="O24" s="4" t="inlineStr"/>
    </row>
    <row r="25" ht="40" customHeight="1">
      <c r="A25" s="7" t="inlineStr">
        <is>
          <t>ISSUE-024</t>
        </is>
      </c>
      <c r="B25" s="7" t="inlineStr">
        <is>
          <t>FR-015: 標高地形図の縮小方法を規定</t>
        </is>
      </c>
      <c r="C25" s="7" t="inlineStr">
        <is>
          <t>URD/SRS レビュー指摘 M-4。FR-015 / 6.7 で標高地形図を '長辺 6000px に縮小（アスペクト比保持）' とあるが、縮小方式（サブサンプリング / バイリニア / max pooling 等）が未規定。NODATA を保持するか否かなど挙動が変わる。</t>
        </is>
      </c>
      <c r="D25" s="7" t="inlineStr">
        <is>
          <t>改善</t>
        </is>
      </c>
      <c r="E25" s="5" t="inlineStr">
        <is>
          <t>中</t>
        </is>
      </c>
      <c r="F25" s="7" t="inlineStr">
        <is>
          <t>解析エンジン</t>
        </is>
      </c>
      <c r="G25" s="7" t="inlineStr"/>
      <c r="H25" s="7" t="inlineStr">
        <is>
          <t>2026-05-14</t>
        </is>
      </c>
      <c r="I25" s="7" t="inlineStr">
        <is>
          <t>SRS</t>
        </is>
      </c>
      <c r="J25" s="7" t="inlineStr">
        <is>
          <t>未対応</t>
        </is>
      </c>
      <c r="K25" s="7" t="inlineStr"/>
      <c r="L25" s="7" t="inlineStr">
        <is>
          <t>FR-015 に縮小方式を明示する（推奨: max pooling でダウンサンプル、NODATA は除外）。もしくは HLD で規定する旨を SRS に明記。</t>
        </is>
      </c>
      <c r="M25" s="7" t="inlineStr"/>
      <c r="N25" s="7" t="inlineStr"/>
      <c r="O25" s="7" t="inlineStr"/>
    </row>
    <row r="26" ht="40" customHeight="1">
      <c r="A26" s="2" t="inlineStr">
        <is>
          <t>ISSUE-025</t>
        </is>
      </c>
      <c r="B26" s="2" t="inlineStr">
        <is>
          <t>FR-009 等: 標高バンド境界値（points 1/2/4/6/8/10）の規定</t>
        </is>
      </c>
      <c r="C26" s="2" t="inlineStr">
        <is>
          <t>URD/SRS レビュー指摘 M-5。FR-009 / FR-013 / FR-012 の points / sota_points カラムで '標高バンドに基づくポイント数（1/2/4/6/8/10）' とあるが、各バンドの標高境界値（何 m 以上で何 pt）が SRS にない。sotl.as 由来のはずだが SOTA 日本支部の正式表との対応を SRS / GLOSSARY で明示すべきか HLD で十分か議論が必要。緯度依存の可能性もあり。</t>
        </is>
      </c>
      <c r="D26" s="2" t="inlineStr">
        <is>
          <t>設計</t>
        </is>
      </c>
      <c r="E26" s="5" t="inlineStr">
        <is>
          <t>中</t>
        </is>
      </c>
      <c r="F26" s="2" t="inlineStr">
        <is>
          <t>merge.py</t>
        </is>
      </c>
      <c r="G26" s="2" t="inlineStr"/>
      <c r="H26" s="2" t="inlineStr">
        <is>
          <t>2026-05-14</t>
        </is>
      </c>
      <c r="I26" s="2" t="inlineStr">
        <is>
          <t>SRS</t>
        </is>
      </c>
      <c r="J26" s="2" t="inlineStr">
        <is>
          <t>解決済</t>
        </is>
      </c>
      <c r="K26" s="2" t="inlineStr"/>
      <c r="L26" s="2" t="inlineStr">
        <is>
          <t>FR-009 の用語定義または GLOSSARY で標高バンド境界表を提示する（SOTA 日本支部の正式表を出典として引用）。緯度区分がある場合は区分も含めて表で記述。</t>
        </is>
      </c>
      <c r="M26" s="2" t="inlineStr">
        <is>
          <t>【2026-05-22 対応完了】GLOSSARY に SOTA 日本支部参照マニュアル（2025年7月改定版）に基づく標高バンド表を追加（全国統一・地域依存なし）。SRS FR-009 に変更申請判定（Points バンド遷移）セクションを追加し、GLOSSARY への参照リンクで出典を明示。ref/SOURCES.md にも出典エントリを追加。本 ISSUE は ISSUE-046（変更申請判定スコープ変更）に統合。</t>
        </is>
      </c>
      <c r="N26" s="2" t="inlineStr">
        <is>
          <t>2026-05-22</t>
        </is>
      </c>
      <c r="O26" s="2" t="inlineStr">
        <is>
          <t>2026-05-22</t>
        </is>
      </c>
    </row>
    <row r="27" ht="40" customHeight="1">
      <c r="A27" s="2" t="inlineStr">
        <is>
          <t>ISSUE-026</t>
        </is>
      </c>
      <c r="B27" s="2" t="inlineStr">
        <is>
          <t>SRS 用語統一（Keyコル / dominant peak / ピーク・サミット候補）</t>
        </is>
      </c>
      <c r="C27" s="2" t="inlineStr">
        <is>
          <t>URD/SRS レビュー指摘 L-1 + L-2 + L-3。
L-1: 'Keyコル' / 'Key Col' / 'key_col_boundary' / 'prominence boundary polygon' が FR-006 / FR-009 / FR-016 / FR-018 で混在。
L-2: 'ピーク候補' / 'サミット候補' / 'ピーク' / 'サミット' の使い分けが不統一。GLOSSARY ではサミット = プロミネンス 150m 以上のピークと定義。
L-3: 'dominant peak' と 'ドミナントピーク' が GLOSSARY 見出しと本文で混在。</t>
        </is>
      </c>
      <c r="D27" s="2" t="inlineStr">
        <is>
          <t>改善</t>
        </is>
      </c>
      <c r="E27" s="6" t="inlineStr">
        <is>
          <t>低</t>
        </is>
      </c>
      <c r="F27" s="2" t="inlineStr">
        <is>
          <t>その他</t>
        </is>
      </c>
      <c r="G27" s="2" t="inlineStr"/>
      <c r="H27" s="2" t="inlineStr">
        <is>
          <t>2026-05-14</t>
        </is>
      </c>
      <c r="I27" s="2" t="inlineStr">
        <is>
          <t>SRS</t>
        </is>
      </c>
      <c r="J27" s="2" t="inlineStr">
        <is>
          <t>解決済</t>
        </is>
      </c>
      <c r="K27" s="2" t="inlineStr"/>
      <c r="L27" s="2" t="inlineStr">
        <is>
          <t>表記ルールを SRS 冒頭または GLOSSARY に明示し、全文を統一:
(1) 本文表記: 'Keyコル'、プロパティ名 / feature_type 値: 'key_col_boundary' に統一
(2) 130m フィルタ後 = 'ピーク候補'、150m フィルタ後 = 'サミット候補' に統一
(3) 'dominant peak' は本文・GLOSSARY 見出しとも英語表記に統一</t>
        </is>
      </c>
      <c r="M27" s="2" t="inlineStr"/>
      <c r="N27" s="2" t="inlineStr">
        <is>
          <t>2026-05-17</t>
        </is>
      </c>
      <c r="O27" s="2" t="inlineStr">
        <is>
          <t>2026-05-17</t>
        </is>
      </c>
    </row>
    <row r="28" ht="40" customHeight="1">
      <c r="A28" s="4" t="inlineStr">
        <is>
          <t>ISSUE-027</t>
        </is>
      </c>
      <c r="B28" s="4" t="inlineStr">
        <is>
          <t>GLOSSARY 補完（削除候補・dominant peak 見出し統一）</t>
        </is>
      </c>
      <c r="C28" s="4" t="inlineStr">
        <is>
          <t>URD/SRS レビュー指摘 L-4。'削除候補（deleted）' が用語集に独立項目として未定義。dominant peak の説明文で言及されるのみ。</t>
        </is>
      </c>
      <c r="D28" s="4" t="inlineStr">
        <is>
          <t>改善</t>
        </is>
      </c>
      <c r="E28" s="6" t="inlineStr">
        <is>
          <t>低</t>
        </is>
      </c>
      <c r="F28" s="4" t="inlineStr">
        <is>
          <t>その他</t>
        </is>
      </c>
      <c r="G28" s="4" t="inlineStr"/>
      <c r="H28" s="4" t="inlineStr">
        <is>
          <t>2026-05-14</t>
        </is>
      </c>
      <c r="I28" s="4" t="inlineStr">
        <is>
          <t>SRS</t>
        </is>
      </c>
      <c r="J28" s="4" t="inlineStr">
        <is>
          <t>未対応</t>
        </is>
      </c>
      <c r="K28" s="4" t="inlineStr"/>
      <c r="L28" s="4" t="inlineStr">
        <is>
          <t>GLOSSARY に以下を追加:
(1) '削除候補（deleted サミット）' を独立項目として追加（ISSUE-018 の sota_summit.match_status=deleted 定義と整合）
(2) ISSUE-026 と協調して 'dominant peak' 見出しを英語表記に統一</t>
        </is>
      </c>
      <c r="M28" s="4" t="inlineStr"/>
      <c r="N28" s="4" t="inlineStr"/>
      <c r="O28" s="4" t="inlineStr"/>
    </row>
    <row r="29" ht="40" customHeight="1">
      <c r="A29" s="7" t="inlineStr">
        <is>
          <t>ISSUE-028</t>
        </is>
      </c>
      <c r="B29" s="7" t="inlineStr">
        <is>
          <t>フォールバック規定の集約（FR-003 / FR-017 / 6.9 の重複解消）</t>
        </is>
      </c>
      <c r="C29" s="7" t="inlineStr">
        <is>
          <t>URD/SRS レビュー指摘 L-5。excluded_tiles.txt / regions.geojson / municipalities.geojson の未存在時フォールバック動作が FR-003 / FR-017 / 6.9 の3箇所で重複記載されている。変更時の同期コストが高い。</t>
        </is>
      </c>
      <c r="D29" s="7" t="inlineStr">
        <is>
          <t>改善</t>
        </is>
      </c>
      <c r="E29" s="6" t="inlineStr">
        <is>
          <t>低</t>
        </is>
      </c>
      <c r="F29" s="7" t="inlineStr">
        <is>
          <t>その他</t>
        </is>
      </c>
      <c r="G29" s="7" t="inlineStr"/>
      <c r="H29" s="7" t="inlineStr">
        <is>
          <t>2026-05-14</t>
        </is>
      </c>
      <c r="I29" s="7" t="inlineStr">
        <is>
          <t>SRS</t>
        </is>
      </c>
      <c r="J29" s="7" t="inlineStr">
        <is>
          <t>未対応</t>
        </is>
      </c>
      <c r="K29" s="7" t="inlineStr"/>
      <c r="L29" s="7" t="inlineStr">
        <is>
          <t>フォールバック規定を 1 箇所（推奨: FR-017 のみ）に集約し、他箇所からは '詳細は FR-017 参照' とリンクする。</t>
        </is>
      </c>
      <c r="M29" s="7" t="inlineStr"/>
      <c r="N29" s="7" t="inlineStr"/>
      <c r="O29" s="7" t="inlineStr"/>
    </row>
    <row r="30" ht="40" customHeight="1">
      <c r="A30" s="4" t="inlineStr">
        <is>
          <t>ISSUE-029</t>
        </is>
      </c>
      <c r="B30" s="4" t="inlineStr">
        <is>
          <t>UR-008 / UR-009 の要件性検討（NFR への再マップ）</t>
        </is>
      </c>
      <c r="C30" s="4" t="inlineStr">
        <is>
          <t>URD/SRS レビュー指摘 U-1。
UR-008: 'ドキュメントに従って環境構築から成果物生成まで実行できること'
UR-009: '仕様書・設計書の内容とプログラムの実装が整合していること'
両者ともユーザーニーズというよりプロセス品質目標。トレース対象として残すなら扱いを確定したい。現状 NFR-003 / NFR-007 が部分的に対応しているが対応関係が暗黙的。</t>
        </is>
      </c>
      <c r="D30" s="4" t="inlineStr">
        <is>
          <t>設計</t>
        </is>
      </c>
      <c r="E30" s="5" t="inlineStr">
        <is>
          <t>中</t>
        </is>
      </c>
      <c r="F30" s="4" t="inlineStr">
        <is>
          <t>その他</t>
        </is>
      </c>
      <c r="G30" s="4" t="inlineStr"/>
      <c r="H30" s="4" t="inlineStr">
        <is>
          <t>2026-05-14</t>
        </is>
      </c>
      <c r="I30" s="4" t="inlineStr">
        <is>
          <t>URD</t>
        </is>
      </c>
      <c r="J30" s="4" t="inlineStr">
        <is>
          <t>未対応</t>
        </is>
      </c>
      <c r="K30" s="4" t="inlineStr"/>
      <c r="L30" s="4" t="inlineStr">
        <is>
          <t>以下のいずれかに整理:
案A: UR-008 / UR-009 を URD に残しつつ '(品質要件)' と明示し、SRS で NFR-XXX に明示マップ
案B: URD から削除し、SRS の NFR として独立記載
案C: URD に残し、トレース確認のための専用節を新設</t>
        </is>
      </c>
      <c r="M30" s="4" t="inlineStr">
        <is>
          <t>【Opus相談推奨】URD/SRS構造に関わる設計哲学的判断。後から変更すると影響範囲が大きい。
相談ポイント:
(1) 案A・案B・案Cそれぞれの長所短所。要件管理の一般的なプラクティスに照らした評価
(2) UR-008（環境構築から成果物生成までの実行可能性）とUR-009（仕様・実装の整合性）は本質的に '品質目標' であり、ユーザー要求とは性質が異なる。これをURDに残すべきか、NFRに移すべきか
(3) ISO/IEC 25010 等の品質特性モデルとのマッピング
(4) 既存のNFR-003 / NFR-007との対応関係を明示するか、独立した品質目標として扱うか
(5) ISSUE-031（UR↔FR/NFRトレース調査）・ISSUE-032（RTM作成）の進め方への影響</t>
        </is>
      </c>
      <c r="N30" s="4" t="inlineStr"/>
      <c r="O30" s="4" t="inlineStr"/>
    </row>
    <row r="31" ht="40" customHeight="1">
      <c r="A31" s="7" t="inlineStr">
        <is>
          <t>ISSUE-030</t>
        </is>
      </c>
      <c r="B31" s="7" t="inlineStr">
        <is>
          <t>UR-006: 作業用 / 公開用 HTML の 2 層構造を URD に反映</t>
        </is>
      </c>
      <c r="C31" s="7" t="inlineStr">
        <is>
          <t>URD/SRS レビュー指摘 U-2。URD UR-006 では 1 つの HTML ビューアとして記述されているが、SRS では '作業用 HTML ビューア（6.5）' と '公開用 HTML（6.12）' の 2 層構造に展開されている。URD 本文または GLOSSARY でこの 2 層構造に触れておくとトレーサビリティが明確になる。</t>
        </is>
      </c>
      <c r="D31" s="7" t="inlineStr">
        <is>
          <t>改善</t>
        </is>
      </c>
      <c r="E31" s="6" t="inlineStr">
        <is>
          <t>低</t>
        </is>
      </c>
      <c r="F31" s="7" t="inlineStr">
        <is>
          <t>その他</t>
        </is>
      </c>
      <c r="G31" s="7" t="inlineStr"/>
      <c r="H31" s="7" t="inlineStr">
        <is>
          <t>2026-05-14</t>
        </is>
      </c>
      <c r="I31" s="7" t="inlineStr">
        <is>
          <t>URD</t>
        </is>
      </c>
      <c r="J31" s="7" t="inlineStr">
        <is>
          <t>未対応</t>
        </is>
      </c>
      <c r="K31" s="7" t="inlineStr"/>
      <c r="L31" s="7" t="inlineStr">
        <is>
          <t>URD UR-006 の要件文または前提・制約に '作業用ビューア（山岳名入力・XLSX エクスポート）と公開用 HTML（閲覧専用）の 2 層構造' を反映する。</t>
        </is>
      </c>
      <c r="M31" s="7" t="inlineStr"/>
      <c r="N31" s="7" t="inlineStr"/>
      <c r="O31" s="7" t="inlineStr"/>
    </row>
    <row r="32" ht="40" customHeight="1">
      <c r="A32" s="4" t="inlineStr">
        <is>
          <t>ISSUE-031</t>
        </is>
      </c>
      <c r="B32" s="4" t="inlineStr">
        <is>
          <t>SRS: 各 UR に対する FR/NFR の対応漏れ調査と『対応 UR』記述の補完</t>
        </is>
      </c>
      <c r="C32" s="4" t="inlineStr">
        <is>
          <t>ユーザー指摘: 各 FR / NFR の '対応 UR' が記載されているが漏れがある感触あり。本 issue で逆方向（各 UR ← 対応 FR/NFR）をトレースし、漏れている箇所を補完する。
依存: ISSUE-018〜ISSUE-030 の改訂結果（特に H-1〜H-3 や U-1 によって UR ↔ FR の対応関係が変わる可能性）。
このため第4段（URD 改訂後）に着手するのが効率的。</t>
        </is>
      </c>
      <c r="D32" s="4" t="inlineStr">
        <is>
          <t>調査</t>
        </is>
      </c>
      <c r="E32" s="3" t="inlineStr">
        <is>
          <t>高</t>
        </is>
      </c>
      <c r="F32" s="4" t="inlineStr">
        <is>
          <t>その他</t>
        </is>
      </c>
      <c r="G32" s="4" t="inlineStr"/>
      <c r="H32" s="4" t="inlineStr">
        <is>
          <t>2026-05-14</t>
        </is>
      </c>
      <c r="I32" s="4" t="inlineStr">
        <is>
          <t>SRS</t>
        </is>
      </c>
      <c r="J32" s="4" t="inlineStr">
        <is>
          <t>未対応</t>
        </is>
      </c>
      <c r="K32" s="4" t="inlineStr"/>
      <c r="L32" s="4" t="inlineStr">
        <is>
          <t>(1) UR-001 〜 UR-010 を縦軸、現状の対応 FR/NFR を横軸に整理した一覧表を作成し漏れを抽出
(2) 漏れている対応関係を該当 FR / NFR の '対応 UR' フィールドに追記
(3) ISSUE-031（RTM）作成の前提データとして提供</t>
        </is>
      </c>
      <c r="M32" s="4" t="inlineStr"/>
      <c r="N32" s="4" t="inlineStr"/>
      <c r="O32" s="4" t="inlineStr"/>
    </row>
    <row r="33" ht="40" customHeight="1">
      <c r="A33" s="7" t="inlineStr">
        <is>
          <t>ISSUE-032</t>
        </is>
      </c>
      <c r="B33" s="7" t="inlineStr">
        <is>
          <t>SRS: 要求トレーサビリティ・マトリックス（RTM）の追加</t>
        </is>
      </c>
      <c r="C33" s="7" t="inlineStr">
        <is>
          <t>ユーザー指摘: SRS 末尾に要求トレーサビリティ・マトリックスを追加する。
仕様:
(1) 縦軸: UR-001 〜 UR-010（要件 ID + 要件タイトル）
(2) 横軸: FR-001 〜 FR-018 + NFR-001 〜 NFR-008（各機能 / 非機能 ID + 概要タイトル）
(3) セル: 該当する場合 ◯、しない場合は空欄
(4) 判定基準: 当該 FR/NFR が当該 UR の達成に寄与する場合に ◯
(5) 行末 / 列末に対応数の合計を入れて網羅性を視覚化
依存: 他全 issue の完了。FR/NFR 内容が確定した状態で RTM を構築する。</t>
        </is>
      </c>
      <c r="D33" s="7" t="inlineStr">
        <is>
          <t>機能追加</t>
        </is>
      </c>
      <c r="E33" s="3" t="inlineStr">
        <is>
          <t>高</t>
        </is>
      </c>
      <c r="F33" s="7" t="inlineStr">
        <is>
          <t>その他</t>
        </is>
      </c>
      <c r="G33" s="7" t="inlineStr"/>
      <c r="H33" s="7" t="inlineStr">
        <is>
          <t>2026-05-14</t>
        </is>
      </c>
      <c r="I33" s="7" t="inlineStr">
        <is>
          <t>SRS</t>
        </is>
      </c>
      <c r="J33" s="7" t="inlineStr">
        <is>
          <t>未対応</t>
        </is>
      </c>
      <c r="K33" s="7" t="inlineStr"/>
      <c r="L33" s="7" t="inlineStr">
        <is>
          <t>SRS に '10. 要求トレーサビリティ・マトリックス' を新章として追加。
- FR セクションと NFR セクションを 2 つの表に分割するか、1 つにまとめるかは可読性で判断
- 目次にもセクション 10 を追加
- ISSUE-031 の調査結果を反映</t>
        </is>
      </c>
      <c r="M33" s="7" t="inlineStr"/>
      <c r="N33" s="7" t="inlineStr"/>
      <c r="O33" s="7" t="inlineStr"/>
    </row>
    <row r="34" ht="40" customHeight="1">
      <c r="A34" s="2" t="inlineStr">
        <is>
          <t>ISSUE-033</t>
        </is>
      </c>
      <c r="B34" s="2" t="inlineStr">
        <is>
          <t>SRS FR-018: FR-014 参照記述の整合性修正（フェーズ構成組み替えの取り残し）</t>
        </is>
      </c>
      <c r="C34" s="2" t="inlineStr">
        <is>
          <t>ISSUE-018 確認時に Opus が独立検証で発見した残課題。2026-05-16 のフェーズ構成組み替えで FR-014 を per-mesh フェーズ2 へ移動したが、SRS FR-018 本文に旧設計の記述が残っている。
- L291: 「（いずれも FR-014 で後処理される）」← FR-014 はフェーズ2 で完了済みのため矛盾
- L294: 「統合後の GeoJSON は FR-014 の入力として使用する」← フェーズ3 出力がフェーズ2 入力になる循環参照
- L304（FR-009 入力）: FR-014 完了タイミングの表現が薄く、読み手依存になっている可能性</t>
        </is>
      </c>
      <c r="D34" s="2" t="inlineStr">
        <is>
          <t>設計</t>
        </is>
      </c>
      <c r="E34" s="3" t="inlineStr">
        <is>
          <t>高</t>
        </is>
      </c>
      <c r="F34" s="2" t="inlineStr">
        <is>
          <t>解析エンジン</t>
        </is>
      </c>
      <c r="G34" s="2" t="inlineStr"/>
      <c r="H34" s="2" t="inlineStr">
        <is>
          <t>2026-05-17</t>
        </is>
      </c>
      <c r="I34" s="2" t="inlineStr">
        <is>
          <t>SRS</t>
        </is>
      </c>
      <c r="J34" s="2" t="inlineStr">
        <is>
          <t>解決済</t>
        </is>
      </c>
      <c r="K34" s="2" t="inlineStr"/>
      <c r="L34" s="2" t="inlineStr">
        <is>
          <t>(1) L291 の括弧書き「（いずれも FR-014 で後処理される）」を削除またはフェーズ2 完了済み前提の表現に修正
(2) L294 を削除または FR-009 入力として使う旨に修正
(3) L304 FR-009 入力記述で FR-014 の per-mesh 完了タイミング明示を再確認
(4) フェーズ2 内の FR-016 → FR-014 → FR-007 の処理順序が SRS から読み取れるかも合わせて確認</t>
        </is>
      </c>
      <c r="M34" s="2" t="inlineStr">
        <is>
          <t>当初方針（フェーズ2 配置前提の参照記述整合化）から大幅に範囲拡大。
FR-014 をフェーズ3.5（新設）に移し、縮小版パイプラインのループ構造
（N=4→5→6 エスカレーション、per-mesh エンジンを広域モードで再呼び出し
→ FR-008/FR-018 再実行で merged 再生成）として全面書き直し。
関連 FR（FR-004/006/008/009/016/018）も整合化。ISSUE-021 同時解消。
詳細は ADR-004（決定日 2026-05-18 追記）を参照。
関連 commit: 8f273a8（暫定・却下）→ 282f427（確定）</t>
        </is>
      </c>
      <c r="N34" s="2" t="inlineStr">
        <is>
          <t>2026-05-18</t>
        </is>
      </c>
      <c r="O34" s="2" t="inlineStr">
        <is>
          <t>2026-05-19</t>
        </is>
      </c>
    </row>
    <row r="35" ht="40" customHeight="1">
      <c r="A35" s="7" t="inlineStr">
        <is>
          <t>ISSUE-034</t>
        </is>
      </c>
      <c r="B35" s="7" t="inlineStr">
        <is>
          <t>tracker: ISSUE-018 の resolution 文を実装実態（案 B 採用）に合わせて更新</t>
        </is>
      </c>
      <c r="C35" s="7" t="inlineStr">
        <is>
          <t>ISSUE-018 の resolution 文に「案A（peak も dominant に昇格）または案B…から選定」と書かれているが、実装方針は案 B（peak 昇格なし）で確定済み（SRS L336 / ADR-008 L29）。後から履歴を辿る際の誤読防止のため、resolution 文を案 B 採用前提の記述に更新する。</t>
        </is>
      </c>
      <c r="D35" s="7" t="inlineStr">
        <is>
          <t>改善</t>
        </is>
      </c>
      <c r="E35" s="6" t="inlineStr">
        <is>
          <t>低</t>
        </is>
      </c>
      <c r="F35" s="7" t="inlineStr">
        <is>
          <t>その他</t>
        </is>
      </c>
      <c r="G35" s="7" t="inlineStr"/>
      <c r="H35" s="7" t="inlineStr">
        <is>
          <t>2026-05-17</t>
        </is>
      </c>
      <c r="I35" s="7" t="inlineStr"/>
      <c r="J35" s="7" t="inlineStr">
        <is>
          <t>未対応</t>
        </is>
      </c>
      <c r="K35" s="7" t="inlineStr"/>
      <c r="L35" s="7" t="inlineStr">
        <is>
          <t>tracker のレコード編集機能で ISSUE-018 の resolution フィールドを書き換え、「案 B（peak.match_status は変更せず、summit.dominant_peak_code で紐付けのみ）を採用」と明記する。</t>
        </is>
      </c>
      <c r="M35" s="7" t="inlineStr"/>
      <c r="N35" s="7" t="inlineStr"/>
      <c r="O35" s="7" t="inlineStr"/>
    </row>
    <row r="36" ht="40" customHeight="1">
      <c r="A36" s="4" t="inlineStr">
        <is>
          <t>ISSUE-035</t>
        </is>
      </c>
      <c r="B36" s="4" t="inlineStr">
        <is>
          <t>SRS: 竹島除外方針の記述追加・ADR-009 リンク</t>
        </is>
      </c>
      <c r="C36" s="4" t="inlineStr">
        <is>
          <t>URD UR-001・ADR-009 に竹島除外方針を追加済み。SRS の前提・制約・スコープ外・FR-003 関連箇所に竹島の記述を追加し、ADR-009 へのリンクを貼る。北方領土の記述（ADR-005 参照）に準じた形で記載すること。</t>
        </is>
      </c>
      <c r="D36" s="4" t="inlineStr"/>
      <c r="E36" s="5" t="inlineStr">
        <is>
          <t>中</t>
        </is>
      </c>
      <c r="F36" s="4" t="inlineStr"/>
      <c r="G36" s="4" t="inlineStr"/>
      <c r="H36" s="4" t="inlineStr">
        <is>
          <t>2026-05-17</t>
        </is>
      </c>
      <c r="I36" s="4" t="inlineStr">
        <is>
          <t>SRS</t>
        </is>
      </c>
      <c r="J36" s="4" t="inlineStr">
        <is>
          <t>未対応</t>
        </is>
      </c>
      <c r="K36" s="4" t="inlineStr"/>
      <c r="L36" s="4" t="inlineStr"/>
      <c r="M36" s="4" t="inlineStr"/>
      <c r="N36" s="4" t="inlineStr"/>
      <c r="O36" s="4" t="inlineStr"/>
    </row>
    <row r="37" ht="40" customHeight="1">
      <c r="A37" s="7" t="inlineStr">
        <is>
          <t>ISSUE-036</t>
        </is>
      </c>
      <c r="B37" s="7" t="inlineStr">
        <is>
          <t>COD: mesh_list_japan.txt からメッシュ 5531（竹島）を削除</t>
        </is>
      </c>
      <c r="C37" s="7" t="inlineStr">
        <is>
          <t>ADR-009 の決定に基づく実装。params/mesh_list_japan.txt から 5531 を1行削除する。竹島（HL/GB-430）は韓国 SOTA サミットであり SOTA 日本支部の管轄外。除外根拠: docs/decisions/ADR-009-takeshima-exclusion.md</t>
        </is>
      </c>
      <c r="D37" s="7" t="inlineStr"/>
      <c r="E37" s="5" t="inlineStr">
        <is>
          <t>中</t>
        </is>
      </c>
      <c r="F37" s="7" t="inlineStr"/>
      <c r="G37" s="7" t="inlineStr"/>
      <c r="H37" s="7" t="inlineStr">
        <is>
          <t>2026-05-17</t>
        </is>
      </c>
      <c r="I37" s="7" t="inlineStr">
        <is>
          <t>SRS</t>
        </is>
      </c>
      <c r="J37" s="7" t="inlineStr">
        <is>
          <t>未対応</t>
        </is>
      </c>
      <c r="K37" s="7" t="inlineStr">
        <is>
          <t>Sonnet</t>
        </is>
      </c>
      <c r="L37" s="7" t="inlineStr"/>
      <c r="M37" s="7" t="inlineStr"/>
      <c r="N37" s="7" t="inlineStr"/>
      <c r="O37" s="7" t="inlineStr"/>
    </row>
    <row r="38" ht="40" customHeight="1">
      <c r="A38" s="4" t="inlineStr">
        <is>
          <t>ISSUE-037</t>
        </is>
      </c>
      <c r="B38" s="4" t="inlineStr">
        <is>
          <t>ADR-010 Phase 1: ビルド基盤 + elevation.c の C++/OpenCV 化（標高値同値性検証含む）</t>
        </is>
      </c>
      <c r="C38" s="4" t="inlineStr">
        <is>
          <t>ADR-010（C++/OpenCV 全面移行）の Phase 1 として、ビルド基盤の C++ 化と elevation.c の C++ + cv::imread 化を行う。
【作業範囲】
- Makefile を g++ + pkg-config（opencv4）対応に変更
- src/elevation.c を C++ に翻訳し、PNG デコードを libpng → cv::imread に置換
- RGB→標高変換ロジックは cv::Mat ベースで再実装
- Dockerfile / コンテナ環境に libopencv-dev インストール手順を追加
- docs/environment.md・CLAUDE.md の依存ライブラリ記述を更新
【検証ポイント】
- 既知タイル（例: tiles/15/29097/12863.png）を libpng と cv::imread でデコードした結果が完全一致すること（全 256×256 ピクセルの RGB 値）
- ランダムサンプル 100 枚で全ピクセル一致を確認
- test_mesh_analyze 4929 の結果が現行と同一であること
- 9 メッシュ実行でメモリ消費が ±10% 以内
【参照】
- ADR-010 docs/decisions/ADR-010-cpp-opencv-migration.md
- 検討資料 docs/decisions/research/cpp-opencv-migration-research.md（§3 同値性検証手順、§6 ビルド基盤変更）</t>
        </is>
      </c>
      <c r="D38" s="4" t="inlineStr">
        <is>
          <t>改善</t>
        </is>
      </c>
      <c r="E38" s="3" t="inlineStr">
        <is>
          <t>高</t>
        </is>
      </c>
      <c r="F38" s="4" t="inlineStr">
        <is>
          <t>解析エンジン</t>
        </is>
      </c>
      <c r="G38" s="4" t="inlineStr">
        <is>
          <t>JJ1XGO</t>
        </is>
      </c>
      <c r="H38" s="4" t="inlineStr">
        <is>
          <t>2026-05-17</t>
        </is>
      </c>
      <c r="I38" s="4" t="inlineStr">
        <is>
          <t>SRS</t>
        </is>
      </c>
      <c r="J38" s="4" t="inlineStr">
        <is>
          <t>未対応</t>
        </is>
      </c>
      <c r="K38" s="4" t="inlineStr">
        <is>
          <t>Sonnet</t>
        </is>
      </c>
      <c r="L38" s="4" t="inlineStr"/>
      <c r="M38" s="4" t="inlineStr"/>
      <c r="N38" s="4" t="inlineStr"/>
      <c r="O38" s="4" t="inlineStr"/>
    </row>
    <row r="39" ht="40" customHeight="1">
      <c r="A39" s="7" t="inlineStr">
        <is>
          <t>ISSUE-038</t>
        </is>
      </c>
      <c r="B39" s="7" t="inlineStr">
        <is>
          <t>ADR-010 Phase 2: 残り src/ の C++ 翻訳（mesh / unionfind / analyze / mesh_analyze / main / tests）</t>
        </is>
      </c>
      <c r="C39" s="7" t="inlineStr">
        <is>
          <t>ADR-010 Phase 2: Phase 1 で C++ 化したビルド基盤の上に、残りの src/ を C++ に翻訳する。
【作業範囲】
- src/mesh.c → mesh.cpp
- src/unionfind.c → unionfind.cpp
- src/analyze.c → analyze.cpp
- src/mesh_analyze.c → mesh_analyze.cpp
- src/main.c → main.cpp
- tests/*.c → *.cpp
- malloc/realloc → std::vector への機械的置換主体
- 構造体は class 化せず原則そのまま維持
【方針】
- 過剰な C++ 機能（テンプレートメタプログラミング・複雑な継承等）は採用しない
- 採用するのは RAII / std::vector / std::string / 参照 / const 厳格化 / cv::Mat / auto（限定的）
- 既存の C コード構造を保持したまま安全性を底上げする翻訳に留める
【検証ポイント】
- 既存テスト（test_mesh_analyze / test_analyze）が全通過
- 既知メッシュ（4929 / 5339）の per-mesh CSV がバイト単位で現行実装と一致
- 標高地形図 PNG が現行実装と一致（Phase 3 まで cv::imread/imwrite で再生成しない場合）
【参照】
- ADR-010 docs/decisions/ADR-010-cpp-opencv-migration.md
- 検討資料 §4 C++ 利用方針と踏まない罠</t>
        </is>
      </c>
      <c r="D39" s="7" t="inlineStr">
        <is>
          <t>改善</t>
        </is>
      </c>
      <c r="E39" s="3" t="inlineStr">
        <is>
          <t>高</t>
        </is>
      </c>
      <c r="F39" s="7" t="inlineStr">
        <is>
          <t>解析エンジン</t>
        </is>
      </c>
      <c r="G39" s="7" t="inlineStr">
        <is>
          <t>JJ1XGO</t>
        </is>
      </c>
      <c r="H39" s="7" t="inlineStr">
        <is>
          <t>2026-05-17</t>
        </is>
      </c>
      <c r="I39" s="7" t="inlineStr">
        <is>
          <t>SRS</t>
        </is>
      </c>
      <c r="J39" s="7" t="inlineStr">
        <is>
          <t>未対応</t>
        </is>
      </c>
      <c r="K39" s="7" t="inlineStr">
        <is>
          <t>Sonnet</t>
        </is>
      </c>
      <c r="L39" s="7" t="inlineStr"/>
      <c r="M39" s="7" t="inlineStr"/>
      <c r="N39" s="7" t="inlineStr"/>
      <c r="O39" s="7" t="inlineStr"/>
    </row>
    <row r="40" ht="40" customHeight="1">
      <c r="A40" s="4" t="inlineStr">
        <is>
          <t>ISSUE-039</t>
        </is>
      </c>
      <c r="B40" s="4" t="inlineStr">
        <is>
          <t>ADR-010 Phase 3: FR-015 標高地形図出力の OpenCV 化</t>
        </is>
      </c>
      <c r="C40" s="4" t="inlineStr">
        <is>
          <t>ADR-010 Phase 3: FR-015（標高地形図 PNG 出力）の実装を OpenCV ベースに書き直す。
【作業範囲】
- 標高値から RGB 色への変換を cv::applyColorMap or cv::LUT で実装
- 長辺 6000px への縮小を cv::resize に置換
- PNG 出力を cv::imwrite に置換
- 配色は現行のカラーマップを LUT 形式で再現（または同等の可読性を持つ標準カラーマップを採用）
【検証ポイント】
- 標高地形図 PNG が新カラーマップ実装で正常に生成される
- 視覚的な可読性が現行と同等以上であることを目視確認
- 長辺 6000px の縮小が正しく動作
【参照】
- ADR-010 docs/decisions/ADR-010-cpp-opencv-migration.md
- SRS 6.7 標高地形図（Terrain-RGB PNG）</t>
        </is>
      </c>
      <c r="D40" s="4" t="inlineStr">
        <is>
          <t>改善</t>
        </is>
      </c>
      <c r="E40" s="5" t="inlineStr">
        <is>
          <t>中</t>
        </is>
      </c>
      <c r="F40" s="4" t="inlineStr">
        <is>
          <t>解析エンジン</t>
        </is>
      </c>
      <c r="G40" s="4" t="inlineStr">
        <is>
          <t>JJ1XGO</t>
        </is>
      </c>
      <c r="H40" s="4" t="inlineStr">
        <is>
          <t>2026-05-17</t>
        </is>
      </c>
      <c r="I40" s="4" t="inlineStr">
        <is>
          <t>SRS</t>
        </is>
      </c>
      <c r="J40" s="4" t="inlineStr">
        <is>
          <t>未対応</t>
        </is>
      </c>
      <c r="K40" s="4" t="inlineStr">
        <is>
          <t>Sonnet</t>
        </is>
      </c>
      <c r="L40" s="4" t="inlineStr"/>
      <c r="M40" s="4" t="inlineStr"/>
      <c r="N40" s="4" t="inlineStr"/>
      <c r="O40" s="4" t="inlineStr"/>
    </row>
    <row r="41" ht="40" customHeight="1">
      <c r="A41" s="7" t="inlineStr">
        <is>
          <t>ISSUE-040</t>
        </is>
      </c>
      <c r="B41" s="7" t="inlineStr">
        <is>
          <t>ADR-010 Phase 4: FR-016 アクティベーションゾーン計算（C++/OpenCV 新規実装）</t>
        </is>
      </c>
      <c r="C41" s="7" t="inlineStr">
        <is>
          <t>ADR-010 Phase 4: FR-016（ピーク域ポリゴン計算）を C++ + OpenCV で新規実装する。AZ ポリゴンと delete判定ゾーンポリゴン（ADR-011）の 2 種類を per-mesh GeoJSON に出力する。詳細は notes 欄参照。</t>
        </is>
      </c>
      <c r="D41" s="7" t="inlineStr">
        <is>
          <t>機能追加</t>
        </is>
      </c>
      <c r="E41" s="3" t="inlineStr">
        <is>
          <t>高</t>
        </is>
      </c>
      <c r="F41" s="7" t="inlineStr">
        <is>
          <t>解析エンジン</t>
        </is>
      </c>
      <c r="G41" s="7" t="inlineStr">
        <is>
          <t>JJ1XGO</t>
        </is>
      </c>
      <c r="H41" s="7" t="inlineStr">
        <is>
          <t>2026-05-17</t>
        </is>
      </c>
      <c r="I41" s="7" t="inlineStr">
        <is>
          <t>SRS</t>
        </is>
      </c>
      <c r="J41" s="7" t="inlineStr">
        <is>
          <t>未対応</t>
        </is>
      </c>
      <c r="K41" s="7" t="inlineStr">
        <is>
          <t>Sonnet</t>
        </is>
      </c>
      <c r="L41" s="7" t="inlineStr"/>
      <c r="M41" s="7" t="inlineStr">
        <is>
          <t>【ADR-011 適用 2026-05-21】仕様を delete判定ゾーン方式に更新。
【作業範囲】
- ピーク位置を起点とした cv::floodFill で標高差 25m 以内の連続領域（AZ）を抽出
  - 4 連結 + FLOODFILL_FIXED_RANGE + FLOODFILL_MASK_ONLY を使用
- cv::findContours で外周輪郭を取得（CHAIN_APPROX_SIMPLE モードで lossless 出力）
- 形状を変える簡略化（Douglas-Peucker / approxPolyDP / 等間隔抽出）は使用しない
- ピクセル座標 → 緯度経度変換は既存の pixel_to_latlon() を再利用
- Flood Fill が解析対象メッシュ地理的範囲内で完結→ area_complete=true、範囲外で途切れ→ false
- 同じ Flood Fill を max(col_elev, peak_elev - delete_zone_max_drop) 閾値で再実行して delete判定ゾーンポリゴンを生成
  - key_col_resolved=false（col_elev 未確定）でも peak_elev - delete_zone_max_drop を閾値として生成可能
- per-mesh GeoJSON ファイル &lt;meshcode&gt;_activation.geojson を出力
  - feature_type: 'activation_zone' または 'delete_zone'
  - delete_zone_max_drop は params/config.ini から読み込み（値 250m、ADR-011 で実測確定）
【新規モジュール】
- src/activation.cpp / activation.h（Flood Fill 呼び出し + 輪郭抽出 + GeoJSON シリアライズ）
- mesh_analyze.cpp の CSV 出力ループ内から呼び出し
【検証ポイント】
- per-mesh &lt;meshcode&gt;_activation.geojson が生成される（AZ + delete判定ゾーンの2種類）
- 地理院地図上に重ねて目視確認（AZ は 25m 連続、delete判定ゾーンはプロミネンス連動 + 250m キャップ）
- area_complete フラグが解析範囲端のケースで正しく付与される
- 独立峰（プロミネンス &gt;&gt; 250m）でも delete判定ゾーンが 3×3 メッシュで完結する
- key_col_resolved=false のピークでも delete判定ゾーンが生成される
【参照】
- ADR-010 docs/decisions/ADR-010-cpp-opencv-migration.md
- ADR-011 docs/decisions/ADR-011-delete-zone-polygon.md（新仕様）
- SRS FR-016 docs/02_SRS.md
- SRS 6.8 中間ファイル: メッシュ別ピーク域 GeoJSON
【Opus相談推奨】OpenCV実装の細部設計・メモリ最適化・エッジケース整理に深い設計判断が必要。
相談ポイント:
(1) cv::floodFill のメモリ戦略: 全画像サイズのmask（H+2 × W+2、4GB）を全ピーク間で再利用 vs ピークごとにbbox限定でmaskを確保。9メッシュ56.9GB環境での最適解
(2) cv::Mat の参照カウント・shared_ptr 的挙動の正確な理解と、メモリリーク回避策
(3) area_complete 判定の正確な定義（'メッシュ地理範囲外' = フリンジ含むか含まないか、1px海面ボーダーの扱い）
(4) ピーク座標がメッシュ境界に近い場合の Flood Fill 挙動（隣接メッシュの標高データを参照すべきか）
(5) ピーク数百件 × 2 種類ポリゴン（AZ + delete判定ゾーン）の per-mesh GeoJSON 出力性能・ファイルサイズ実測値の事前見積
(6) cv::findContours の RETR_EXTERNAL モードと、複数 contour が返るケース（ピークが薄い橋でつながっている場合等）の扱い
(7) GeoJSON シリアライズ時の座標精度（小数点何桁）と、形状再現性への影響</t>
        </is>
      </c>
      <c r="N41" s="7" t="inlineStr"/>
      <c r="O41" s="7" t="inlineStr"/>
    </row>
    <row r="42" ht="40" customHeight="1">
      <c r="A42" s="4" t="inlineStr">
        <is>
          <t>ISSUE-041</t>
        </is>
      </c>
      <c r="B42" s="4" t="inlineStr">
        <is>
          <t>実装側のフラグ命名追従（is_tile_top → key_col_resolved + 真偽値反転）</t>
        </is>
      </c>
      <c r="C42" s="4" t="inlineStr">
        <is>
          <t>ISSUE-014 関連の仕様変更（commit 633e54b / ea6bbbe）で、SRS/ADR/GLOSSARY のフラグ名と真偽値方向を以下に統一した。実装側はまだ旧名のままなので、仕様と整合させる追従が必要。
【リネーム + 真偽値反転】
- is_tile_top (int 0/1) → key_col_resolved (bool true/false)
  - 旧 is_tile_top=1 → 新 key_col_resolved=false
  - 旧 is_tile_top=0 → 新 key_col_resolved=true
- FR-016 が未実装のため area_truncated は実装に未出現。新規実装時に area_complete で対応 → ISSUE-040 の責務
【追従対象】
A. C 実装（解析エンジン）
  - src/analyze.h: AnalyzeResult.is_tile_top フィールド改名 + 真偽値反転
  - src/analyze.c: フラグセット箇所
  - src/mesh_analyze.c: CSV ヘッダー文字列・出力フォーマット・条件分岐
  - tests/test_analyze.c: テストアサーション
B. Python 実装
  - scripts/merge.py: CSV 読み込みカラム名・stability 判定ロジック反転・重複排除ロジック・出力カラム
  - scripts/output_geojson.py: プロパティ名追従
【連携・順序】
- ADR-010 Phase 1/2 (ISSUE-037/038) で C → C++/OpenCV 移行が予定されている。C 側の改修は C++ 移行と同時に実施するのが効率的。Python 側は先行追従可能。
- ただし CSV カラム名は C 側と Python 側で揃える必要があるため、片方だけ変更すると一時的にパイプラインが壊れる。タイミング調整が必要。
- area_complete の実装は ISSUE-040 (FR-016 C++ 新規実装) のスコープ。新規実装時に最新 SRS に従えば良い。
【検証】
- findsummits 実行 → per-mesh CSV のヘッダーが key_col_resolved になっていること
- merge.py 実行 → merged.csv の stability が正しく付与されること（confirmed/unstable の判定方向が反転している）
- output_geojson.py 実行 → GeoJSON プロパティが新名で出力されること</t>
        </is>
      </c>
      <c r="D42" s="4" t="inlineStr">
        <is>
          <t>改善</t>
        </is>
      </c>
      <c r="E42" s="5" t="inlineStr">
        <is>
          <t>中</t>
        </is>
      </c>
      <c r="F42" s="4" t="inlineStr">
        <is>
          <t>その他</t>
        </is>
      </c>
      <c r="G42" s="4" t="inlineStr"/>
      <c r="H42" s="4" t="inlineStr">
        <is>
          <t>2026-05-19</t>
        </is>
      </c>
      <c r="I42" s="4" t="inlineStr">
        <is>
          <t>SRS</t>
        </is>
      </c>
      <c r="J42" s="4" t="inlineStr">
        <is>
          <t>未対応</t>
        </is>
      </c>
      <c r="K42" s="4" t="inlineStr">
        <is>
          <t>Sonnet</t>
        </is>
      </c>
      <c r="L42" s="4" t="inlineStr"/>
      <c r="M42" s="4" t="inlineStr">
        <is>
          <t>【背景】commit 633e54b (is_tile_top → key_col_unresolved) + commit ea6bbbe (key_col_unresolved → key_col_resolved + area_truncated → area_complete) で仕様側を更新済み。実装側はまだ旧名のまま。仕様優先原則のため仕様変更が先行している。
【関連 ISSUE】
- ISSUE-014: 仕様変更の母 ISSUE（対応中）
- ISSUE-037 (ADR-010 Phase 1): elevation.c の C++/OpenCV 化
- ISSUE-038 (ADR-010 Phase 2): 残り src/ の C++ 翻訳
- ISSUE-040 (ADR-010 Phase 4): FR-016 (area_complete を含む) C++ 新規実装</t>
        </is>
      </c>
      <c r="N42" s="4" t="inlineStr"/>
      <c r="O42" s="4" t="inlineStr"/>
    </row>
    <row r="43" ht="40" customHeight="1">
      <c r="A43" s="7" t="inlineStr">
        <is>
          <t>ISSUE-042</t>
        </is>
      </c>
      <c r="B43" s="7" t="inlineStr">
        <is>
          <t>メッシュ範囲指定引数の共通化（merge.py / findsummits / その他）</t>
        </is>
      </c>
      <c r="C43" s="7" t="inlineStr">
        <is>
          <t>現状、メッシュ範囲指定の引数仕様が機能ごとに異なる:
- findsummits: 1次メッシュコード または メッシュリストファイル
- merge.py: メッシュコードリスト（オプション。FR-008/FR-009/FR-010 で参照）
- prefetch_tiles.py: 別仕様
- run_all.sh: 別仕様
機能間で「メッシュ範囲を渡したり渡さなかったりする」状態。引数フォーマット・受け渡し方法を統一して、コマンドラインから一貫した形でメッシュ範囲を指定できるようにする。
関連: ISSUE-019（仮サミットコード採番タイミング）で「メッシュ範囲指定の有無に関わらず常に全件再採番」と統一した際の前提となるユーザー要望。</t>
        </is>
      </c>
      <c r="D43" s="7" t="inlineStr">
        <is>
          <t>改善</t>
        </is>
      </c>
      <c r="E43" s="5" t="inlineStr">
        <is>
          <t>中</t>
        </is>
      </c>
      <c r="F43" s="7" t="inlineStr">
        <is>
          <t>その他</t>
        </is>
      </c>
      <c r="G43" s="7" t="inlineStr">
        <is>
          <t>ユーザー</t>
        </is>
      </c>
      <c r="H43" s="7" t="inlineStr">
        <is>
          <t>2026-05-20</t>
        </is>
      </c>
      <c r="I43" s="7" t="inlineStr">
        <is>
          <t>SRS</t>
        </is>
      </c>
      <c r="J43" s="7" t="inlineStr">
        <is>
          <t>未対応</t>
        </is>
      </c>
      <c r="K43" s="7" t="inlineStr"/>
      <c r="L43" s="7" t="inlineStr"/>
      <c r="M43" s="7" t="inlineStr">
        <is>
          <t>ISSUE-019 のクローズ時にユーザーから登録要望が出た案件。</t>
        </is>
      </c>
      <c r="N43" s="7" t="inlineStr"/>
      <c r="O43" s="7" t="inlineStr"/>
    </row>
    <row r="44" ht="40" customHeight="1">
      <c r="A44" s="4" t="inlineStr">
        <is>
          <t>ISSUE-043</t>
        </is>
      </c>
      <c r="B44" s="4" t="inlineStr">
        <is>
          <t>merge.py: delete判定ゾーン対応（AZ/delete-zone PIP、不備フラグ列、exit code、dominant 改名）</t>
        </is>
      </c>
      <c r="C44" s="4" t="inlineStr">
        <is>
          <t>ADR-011（delete判定ゾーンポリゴン）採用に伴う merge.py の改修。SRS FR-009 / ADR-007 / ADR-008 / ADR-011 の仕様を実装に反映する。</t>
        </is>
      </c>
      <c r="D44" s="4" t="inlineStr">
        <is>
          <t>改善</t>
        </is>
      </c>
      <c r="E44" s="3" t="inlineStr">
        <is>
          <t>高</t>
        </is>
      </c>
      <c r="F44" s="4" t="inlineStr">
        <is>
          <t>merge.py</t>
        </is>
      </c>
      <c r="G44" s="4" t="inlineStr">
        <is>
          <t>JJ1XGO</t>
        </is>
      </c>
      <c r="H44" s="4" t="inlineStr">
        <is>
          <t>2026-05-21</t>
        </is>
      </c>
      <c r="I44" s="4" t="inlineStr">
        <is>
          <t>COD</t>
        </is>
      </c>
      <c r="J44" s="4" t="inlineStr">
        <is>
          <t>未対応</t>
        </is>
      </c>
      <c r="K44" s="4" t="inlineStr"/>
      <c r="L44" s="4" t="inlineStr"/>
      <c r="M44" s="4" t="inlineStr">
        <is>
          <t>【2026-05-22 追記】merge.py 改修スコープに以下を追加: points/sota_points/is_band_change_candidate 列の計算・追加（FR-009 変更申請判定セクション参照）。バンド定義は GLOSSARY 標高バンド（Points 算出表）に従う。peak_elev は切り捨て（floor）した整数 m でバンド判定（例: 1499.5m → 1499m → 8pt）、sota_alt_m はそのまま判定。</t>
        </is>
      </c>
      <c r="N44" s="4" t="inlineStr"/>
      <c r="O44" s="4" t="inlineStr"/>
    </row>
    <row r="45" ht="40" customHeight="1">
      <c r="A45" s="7" t="inlineStr">
        <is>
          <t>ISSUE-044</t>
        </is>
      </c>
      <c r="B45" s="7" t="inlineStr">
        <is>
          <t>output_geojson.py: delete判定ゾーン対応 + merged_viewer.html 実装</t>
        </is>
      </c>
      <c r="C45" s="7" t="inlineStr">
        <is>
          <t>ADR-011 採用に伴う output_geojson.py の改修と、SRS FR-013 で要求済みだが未実装の merged_viewer.html 出力を追加する。</t>
        </is>
      </c>
      <c r="D45" s="7" t="inlineStr">
        <is>
          <t>機能追加</t>
        </is>
      </c>
      <c r="E45" s="3" t="inlineStr">
        <is>
          <t>高</t>
        </is>
      </c>
      <c r="F45" s="7" t="inlineStr">
        <is>
          <t>GeoJSON出力</t>
        </is>
      </c>
      <c r="G45" s="7" t="inlineStr">
        <is>
          <t>JJ1XGO</t>
        </is>
      </c>
      <c r="H45" s="7" t="inlineStr">
        <is>
          <t>2026-05-21</t>
        </is>
      </c>
      <c r="I45" s="7" t="inlineStr">
        <is>
          <t>COD</t>
        </is>
      </c>
      <c r="J45" s="7" t="inlineStr">
        <is>
          <t>未対応</t>
        </is>
      </c>
      <c r="K45" s="7" t="inlineStr"/>
      <c r="L45" s="7" t="inlineStr"/>
      <c r="M45" s="7" t="inlineStr">
        <is>
          <t>【2026-05-22 追記】output_geojson.py + merged_viewer.html 改修スコープに以下を追加: (1) 名称修正 UI 廃止（matched ピークの入力フィールドを削除）。(2) 変更行自動エクスポート（is_band_change_candidate=true の matched ピークを申請書の変更行として自動生成、FR-011 ※5フォーマット準拠）。</t>
        </is>
      </c>
      <c r="N45" s="7" t="inlineStr"/>
      <c r="O45" s="7" t="inlineStr"/>
    </row>
    <row r="46" ht="40" customHeight="1">
      <c r="A46" s="4" t="inlineStr">
        <is>
          <t>ISSUE-045</t>
        </is>
      </c>
      <c r="B46" s="4" t="inlineStr">
        <is>
          <t>params/config.ini.example: delete_zone_max_drop = 250 パラメータ追加</t>
        </is>
      </c>
      <c r="C46" s="4" t="inlineStr">
        <is>
          <t>ADR-011 で確定した delete_zone_max_drop（実測値 250m）を config.ini.example に記載し、ユーザー環境への展開を可能にする。</t>
        </is>
      </c>
      <c r="D46" s="4" t="inlineStr">
        <is>
          <t>改善</t>
        </is>
      </c>
      <c r="E46" s="5" t="inlineStr">
        <is>
          <t>中</t>
        </is>
      </c>
      <c r="F46" s="4" t="inlineStr">
        <is>
          <t>設定</t>
        </is>
      </c>
      <c r="G46" s="4" t="inlineStr">
        <is>
          <t>JJ1XGO</t>
        </is>
      </c>
      <c r="H46" s="4" t="inlineStr">
        <is>
          <t>2026-05-21</t>
        </is>
      </c>
      <c r="I46" s="4" t="inlineStr">
        <is>
          <t>COD</t>
        </is>
      </c>
      <c r="J46" s="4" t="inlineStr">
        <is>
          <t>未対応</t>
        </is>
      </c>
      <c r="K46" s="4" t="inlineStr"/>
      <c r="L46" s="4" t="inlineStr"/>
      <c r="M46" s="4" t="inlineStr">
        <is>
          <t>【作業範囲】
- params/config.ini.example の [analysis] セクション（または相当箇所）に delete_zone_max_drop = 250 を追加
- 値の根拠コメントとして ADR-011 を参照
- 既存のローカル params/config.ini（gitignore）は手動で同期する旨をユーザーに通知
【参照】
- ADR docs/decisions/ADR-011-delete-zone-polygon.md
- SRS FR-016
【元 ISSUE】ISSUE-020 から分離</t>
        </is>
      </c>
      <c r="N46" s="4" t="inlineStr"/>
      <c r="O46" s="4" t="inlineStr"/>
    </row>
    <row r="47" ht="40" customHeight="1">
      <c r="A47" s="2" t="inlineStr">
        <is>
          <t>ISSUE-046</t>
        </is>
      </c>
      <c r="B47" s="2" t="inlineStr">
        <is>
          <t>SRS: 変更申請判定を Points バンド遷移基準に変更（URD/SRS/GLOSSARY 改訂）</t>
        </is>
      </c>
      <c r="C47" s="2" t="inlineStr">
        <is>
          <t>SOTA 申請「変更」の定義を「山岳名の変更」から「matched ペアで Points バンドをまたぐ標高差があるケース（is_band_change_candidate=true）」に再定義。山岳名変更は申請対象外（ピーク解析と無関係）。URD UR-003・6.スコープ外、SRS FR-007/009/011/012/013・9.スコープ外、GLOSSARY（標高バンド表追加）、ref/SOURCES.md を改訂。ISSUE-025（標高バンド境界値の規定）を本タスクに統合。</t>
        </is>
      </c>
      <c r="D47" s="2" t="inlineStr">
        <is>
          <t>設計</t>
        </is>
      </c>
      <c r="E47" s="3" t="inlineStr">
        <is>
          <t>高</t>
        </is>
      </c>
      <c r="F47" s="2" t="inlineStr">
        <is>
          <t>その他</t>
        </is>
      </c>
      <c r="G47" s="2" t="inlineStr">
        <is>
          <t>JJ1XGO</t>
        </is>
      </c>
      <c r="H47" s="2" t="inlineStr">
        <is>
          <t>2026-05-22</t>
        </is>
      </c>
      <c r="I47" s="2" t="inlineStr">
        <is>
          <t>SRS</t>
        </is>
      </c>
      <c r="J47" s="2" t="inlineStr">
        <is>
          <t>解決済</t>
        </is>
      </c>
      <c r="K47" s="2" t="inlineStr"/>
      <c r="L47" s="2" t="inlineStr"/>
      <c r="M47" s="2" t="inlineStr"/>
      <c r="N47" s="2" t="inlineStr">
        <is>
          <t>2026-05-22</t>
        </is>
      </c>
      <c r="O47" s="2" t="inlineStr">
        <is>
          <t>2026-05-22</t>
        </is>
      </c>
    </row>
  </sheetData>
  <dataValidations count="4">
    <dataValidation sqref="J2:J47" showDropDown="0" showInputMessage="0" showErrorMessage="0" allowBlank="1" type="list">
      <formula1>"未対応,対応中,対応完了,解決済,却下"</formula1>
    </dataValidation>
    <dataValidation sqref="E2:E47" showDropDown="0" showInputMessage="0" showErrorMessage="0" allowBlank="1" type="list">
      <formula1>"高,中,低"</formula1>
    </dataValidation>
    <dataValidation sqref="D2:D47" showDropDown="0" showInputMessage="0" showErrorMessage="0" allowBlank="1" type="list">
      <formula1>"機能追加,改善,調査,設計"</formula1>
    </dataValidation>
    <dataValidation sqref="I2:I47" showDropDown="0" showInputMessage="0" showErrorMessage="0" allowBlank="1" type="list">
      <formula1>"URD,SRS,HLD,LLD,COD,UT,IT,ST,OPS"</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B37"/>
  <sheetViews>
    <sheetView workbookViewId="0">
      <selection activeCell="A1" sqref="A1"/>
    </sheetView>
  </sheetViews>
  <sheetFormatPr baseColWidth="8" defaultRowHeight="15"/>
  <cols>
    <col width="22" customWidth="1" min="1" max="1"/>
    <col width="12" customWidth="1" min="2" max="2"/>
  </cols>
  <sheetData>
    <row r="1">
      <c r="A1" s="8" t="inlineStr">
        <is>
          <t>KPI</t>
        </is>
      </c>
      <c r="B1" s="9" t="n"/>
    </row>
    <row r="2">
      <c r="A2" s="10" t="inlineStr">
        <is>
          <t>合計件数</t>
        </is>
      </c>
      <c r="B2" s="11" t="n">
        <v>46</v>
      </c>
    </row>
    <row r="3">
      <c r="A3" s="10" t="inlineStr">
        <is>
          <t>未解決件数</t>
        </is>
      </c>
      <c r="B3" s="11" t="n">
        <v>26</v>
      </c>
    </row>
    <row r="4">
      <c r="A4" s="10" t="inlineStr">
        <is>
          <t>解決済件数</t>
        </is>
      </c>
      <c r="B4" s="11" t="n">
        <v>16</v>
      </c>
    </row>
    <row r="5">
      <c r="A5" s="10" t="inlineStr">
        <is>
          <t>解決率</t>
        </is>
      </c>
      <c r="B5" s="11" t="inlineStr">
        <is>
          <t>34.8%</t>
        </is>
      </c>
    </row>
    <row r="7">
      <c r="A7" s="8" t="inlineStr">
        <is>
          <t>ステータス別</t>
        </is>
      </c>
      <c r="B7" s="9" t="n"/>
    </row>
    <row r="8">
      <c r="A8" s="10" t="inlineStr">
        <is>
          <t>未対応</t>
        </is>
      </c>
      <c r="B8" s="11" t="n">
        <v>26</v>
      </c>
    </row>
    <row r="9">
      <c r="A9" s="10" t="inlineStr">
        <is>
          <t>対応中</t>
        </is>
      </c>
      <c r="B9" s="11" t="n">
        <v>0</v>
      </c>
    </row>
    <row r="10">
      <c r="A10" s="10" t="inlineStr">
        <is>
          <t>対応完了</t>
        </is>
      </c>
      <c r="B10" s="11" t="n">
        <v>0</v>
      </c>
    </row>
    <row r="11">
      <c r="A11" s="10" t="inlineStr">
        <is>
          <t>解決済</t>
        </is>
      </c>
      <c r="B11" s="11" t="n">
        <v>16</v>
      </c>
    </row>
    <row r="12">
      <c r="A12" s="10" t="inlineStr">
        <is>
          <t>却下</t>
        </is>
      </c>
      <c r="B12" s="11" t="n">
        <v>4</v>
      </c>
    </row>
    <row r="14">
      <c r="A14" s="8" t="inlineStr">
        <is>
          <t>優先度別（未解決）</t>
        </is>
      </c>
      <c r="B14" s="9" t="n"/>
    </row>
    <row r="15">
      <c r="A15" s="10" t="inlineStr">
        <is>
          <t>高</t>
        </is>
      </c>
      <c r="B15" s="11" t="n">
        <v>8</v>
      </c>
    </row>
    <row r="16">
      <c r="A16" s="10" t="inlineStr">
        <is>
          <t>中</t>
        </is>
      </c>
      <c r="B16" s="11" t="n">
        <v>13</v>
      </c>
    </row>
    <row r="17">
      <c r="A17" s="10" t="inlineStr">
        <is>
          <t>低</t>
        </is>
      </c>
      <c r="B17" s="11" t="n">
        <v>5</v>
      </c>
    </row>
    <row r="19">
      <c r="A19" s="8" t="inlineStr">
        <is>
          <t>種別別（未解決）</t>
        </is>
      </c>
      <c r="B19" s="9" t="n"/>
    </row>
    <row r="20">
      <c r="A20" s="10" t="inlineStr">
        <is>
          <t>機能追加</t>
        </is>
      </c>
      <c r="B20" s="11" t="n">
        <v>5</v>
      </c>
    </row>
    <row r="21">
      <c r="A21" s="10" t="inlineStr">
        <is>
          <t>改善</t>
        </is>
      </c>
      <c r="B21" s="11" t="n">
        <v>15</v>
      </c>
    </row>
    <row r="22">
      <c r="A22" s="10" t="inlineStr">
        <is>
          <t>調査</t>
        </is>
      </c>
      <c r="B22" s="11" t="n">
        <v>2</v>
      </c>
    </row>
    <row r="23">
      <c r="A23" s="10" t="inlineStr">
        <is>
          <t>設計</t>
        </is>
      </c>
      <c r="B23" s="11" t="n">
        <v>1</v>
      </c>
    </row>
    <row r="25">
      <c r="A25" s="8" t="inlineStr">
        <is>
          <t>カテゴリ別（未解決）</t>
        </is>
      </c>
      <c r="B25" s="9" t="n"/>
    </row>
    <row r="26">
      <c r="A26" s="10" t="inlineStr">
        <is>
          <t>解析エンジン</t>
        </is>
      </c>
      <c r="B26" s="11" t="n">
        <v>6</v>
      </c>
    </row>
    <row r="27">
      <c r="A27" s="10" t="inlineStr">
        <is>
          <t>merge.py</t>
        </is>
      </c>
      <c r="B27" s="11" t="n">
        <v>3</v>
      </c>
    </row>
    <row r="28">
      <c r="A28" s="10" t="inlineStr">
        <is>
          <t>GeoJSON出力</t>
        </is>
      </c>
      <c r="B28" s="11" t="n">
        <v>1</v>
      </c>
    </row>
    <row r="29">
      <c r="A29" s="10" t="inlineStr">
        <is>
          <t>設定</t>
        </is>
      </c>
      <c r="B29" s="11" t="n">
        <v>1</v>
      </c>
    </row>
    <row r="30">
      <c r="A30" s="10" t="inlineStr">
        <is>
          <t>その他</t>
        </is>
      </c>
      <c r="B30" s="11" t="n">
        <v>12</v>
      </c>
    </row>
    <row r="32">
      <c r="A32" s="8" t="inlineStr">
        <is>
          <t>ステージ別（未解決）</t>
        </is>
      </c>
      <c r="B32" s="9" t="n"/>
    </row>
    <row r="33">
      <c r="A33" s="10" t="inlineStr">
        <is>
          <t>URD</t>
        </is>
      </c>
      <c r="B33" s="11" t="n">
        <v>2</v>
      </c>
    </row>
    <row r="34">
      <c r="A34" s="10" t="inlineStr">
        <is>
          <t>SRS</t>
        </is>
      </c>
      <c r="B34" s="11" t="n">
        <v>15</v>
      </c>
    </row>
    <row r="35">
      <c r="A35" s="10" t="inlineStr">
        <is>
          <t>HLD</t>
        </is>
      </c>
      <c r="B35" s="11" t="n">
        <v>1</v>
      </c>
    </row>
    <row r="36">
      <c r="A36" s="10" t="inlineStr">
        <is>
          <t>COD</t>
        </is>
      </c>
      <c r="B36" s="11" t="n">
        <v>6</v>
      </c>
    </row>
    <row r="37">
      <c r="A37" s="10" t="inlineStr">
        <is>
          <t>ST</t>
        </is>
      </c>
      <c r="B37" s="11" t="n">
        <v>1</v>
      </c>
    </row>
  </sheetData>
  <pageMargins left="0.75" right="0.75" top="1" bottom="1" header="0.5" footer="0.5"/>
</worksheet>
</file>

<file path=xl/worksheets/sheet3.xml><?xml version="1.0" encoding="utf-8"?>
<worksheet xmlns="http://schemas.openxmlformats.org/spreadsheetml/2006/main">
  <sheetPr>
    <outlinePr summaryBelow="1" summaryRight="1"/>
    <pageSetUpPr/>
  </sheetPr>
  <dimension ref="A1:D27"/>
  <sheetViews>
    <sheetView workbookViewId="0">
      <selection activeCell="A1" sqref="A1"/>
    </sheetView>
  </sheetViews>
  <sheetFormatPr baseColWidth="8" defaultRowHeight="15"/>
  <cols>
    <col width="14" customWidth="1" min="1" max="1"/>
    <col width="12" customWidth="1" min="2" max="2"/>
    <col width="12" customWidth="1" min="3" max="3"/>
    <col width="12" customWidth="1" min="4" max="4"/>
  </cols>
  <sheetData>
    <row r="1">
      <c r="A1" s="1" t="inlineStr">
        <is>
          <t>日付</t>
        </is>
      </c>
      <c r="B1" s="1" t="inlineStr">
        <is>
          <t>累計登録</t>
        </is>
      </c>
      <c r="C1" s="1" t="inlineStr">
        <is>
          <t>対応累計</t>
        </is>
      </c>
      <c r="D1" s="1" t="inlineStr">
        <is>
          <t>確認累計</t>
        </is>
      </c>
    </row>
    <row r="2">
      <c r="A2" t="inlineStr">
        <is>
          <t>2026-04-27</t>
        </is>
      </c>
      <c r="B2" t="n">
        <v>9</v>
      </c>
      <c r="C2" t="n">
        <v>2</v>
      </c>
      <c r="D2" t="n">
        <v>1</v>
      </c>
    </row>
    <row r="3">
      <c r="A3" t="inlineStr">
        <is>
          <t>2026-04-28</t>
        </is>
      </c>
      <c r="B3" t="n">
        <v>11</v>
      </c>
      <c r="C3" t="n">
        <v>3</v>
      </c>
      <c r="D3" t="n">
        <v>1</v>
      </c>
    </row>
    <row r="4">
      <c r="A4" t="inlineStr">
        <is>
          <t>2026-04-29</t>
        </is>
      </c>
      <c r="B4" t="n">
        <v>11</v>
      </c>
      <c r="C4" t="n">
        <v>3</v>
      </c>
      <c r="D4" t="n">
        <v>1</v>
      </c>
    </row>
    <row r="5">
      <c r="A5" t="inlineStr">
        <is>
          <t>2026-04-30</t>
        </is>
      </c>
      <c r="B5" t="n">
        <v>11</v>
      </c>
      <c r="C5" t="n">
        <v>3</v>
      </c>
      <c r="D5" t="n">
        <v>1</v>
      </c>
    </row>
    <row r="6">
      <c r="A6" t="inlineStr">
        <is>
          <t>2026-05-01</t>
        </is>
      </c>
      <c r="B6" t="n">
        <v>11</v>
      </c>
      <c r="C6" t="n">
        <v>3</v>
      </c>
      <c r="D6" t="n">
        <v>1</v>
      </c>
    </row>
    <row r="7">
      <c r="A7" t="inlineStr">
        <is>
          <t>2026-05-02</t>
        </is>
      </c>
      <c r="B7" t="n">
        <v>11</v>
      </c>
      <c r="C7" t="n">
        <v>3</v>
      </c>
      <c r="D7" t="n">
        <v>1</v>
      </c>
    </row>
    <row r="8">
      <c r="A8" t="inlineStr">
        <is>
          <t>2026-05-03</t>
        </is>
      </c>
      <c r="B8" t="n">
        <v>11</v>
      </c>
      <c r="C8" t="n">
        <v>3</v>
      </c>
      <c r="D8" t="n">
        <v>1</v>
      </c>
    </row>
    <row r="9">
      <c r="A9" t="inlineStr">
        <is>
          <t>2026-05-04</t>
        </is>
      </c>
      <c r="B9" t="n">
        <v>11</v>
      </c>
      <c r="C9" t="n">
        <v>3</v>
      </c>
      <c r="D9" t="n">
        <v>1</v>
      </c>
    </row>
    <row r="10">
      <c r="A10" t="inlineStr">
        <is>
          <t>2026-05-05</t>
        </is>
      </c>
      <c r="B10" t="n">
        <v>11</v>
      </c>
      <c r="C10" t="n">
        <v>3</v>
      </c>
      <c r="D10" t="n">
        <v>1</v>
      </c>
    </row>
    <row r="11">
      <c r="A11" t="inlineStr">
        <is>
          <t>2026-05-06</t>
        </is>
      </c>
      <c r="B11" t="n">
        <v>11</v>
      </c>
      <c r="C11" t="n">
        <v>3</v>
      </c>
      <c r="D11" t="n">
        <v>1</v>
      </c>
    </row>
    <row r="12">
      <c r="A12" t="inlineStr">
        <is>
          <t>2026-05-07</t>
        </is>
      </c>
      <c r="B12" t="n">
        <v>11</v>
      </c>
      <c r="C12" t="n">
        <v>3</v>
      </c>
      <c r="D12" t="n">
        <v>1</v>
      </c>
    </row>
    <row r="13">
      <c r="A13" t="inlineStr">
        <is>
          <t>2026-05-08</t>
        </is>
      </c>
      <c r="B13" t="n">
        <v>13</v>
      </c>
      <c r="C13" t="n">
        <v>3</v>
      </c>
      <c r="D13" t="n">
        <v>1</v>
      </c>
    </row>
    <row r="14">
      <c r="A14" t="inlineStr">
        <is>
          <t>2026-05-09</t>
        </is>
      </c>
      <c r="B14" t="n">
        <v>17</v>
      </c>
      <c r="C14" t="n">
        <v>4</v>
      </c>
      <c r="D14" t="n">
        <v>1</v>
      </c>
    </row>
    <row r="15">
      <c r="A15" t="inlineStr">
        <is>
          <t>2026-05-10</t>
        </is>
      </c>
      <c r="B15" t="n">
        <v>17</v>
      </c>
      <c r="C15" t="n">
        <v>6</v>
      </c>
      <c r="D15" t="n">
        <v>1</v>
      </c>
    </row>
    <row r="16">
      <c r="A16" t="inlineStr">
        <is>
          <t>2026-05-11</t>
        </is>
      </c>
      <c r="B16" t="n">
        <v>17</v>
      </c>
      <c r="C16" t="n">
        <v>6</v>
      </c>
      <c r="D16" t="n">
        <v>1</v>
      </c>
    </row>
    <row r="17">
      <c r="A17" t="inlineStr">
        <is>
          <t>2026-05-12</t>
        </is>
      </c>
      <c r="B17" t="n">
        <v>17</v>
      </c>
      <c r="C17" t="n">
        <v>6</v>
      </c>
      <c r="D17" t="n">
        <v>1</v>
      </c>
    </row>
    <row r="18">
      <c r="A18" t="inlineStr">
        <is>
          <t>2026-05-13</t>
        </is>
      </c>
      <c r="B18" t="n">
        <v>17</v>
      </c>
      <c r="C18" t="n">
        <v>7</v>
      </c>
      <c r="D18" t="n">
        <v>1</v>
      </c>
    </row>
    <row r="19">
      <c r="A19" t="inlineStr">
        <is>
          <t>2026-05-14</t>
        </is>
      </c>
      <c r="B19" t="n">
        <v>32</v>
      </c>
      <c r="C19" t="n">
        <v>7</v>
      </c>
      <c r="D19" t="n">
        <v>1</v>
      </c>
    </row>
    <row r="20">
      <c r="A20" t="inlineStr">
        <is>
          <t>2026-05-15</t>
        </is>
      </c>
      <c r="B20" t="n">
        <v>32</v>
      </c>
      <c r="C20" t="n">
        <v>7</v>
      </c>
      <c r="D20" t="n">
        <v>1</v>
      </c>
    </row>
    <row r="21">
      <c r="A21" t="inlineStr">
        <is>
          <t>2026-05-16</t>
        </is>
      </c>
      <c r="B21" t="n">
        <v>32</v>
      </c>
      <c r="C21" t="n">
        <v>8</v>
      </c>
      <c r="D21" t="n">
        <v>1</v>
      </c>
    </row>
    <row r="22">
      <c r="A22" t="inlineStr">
        <is>
          <t>2026-05-17</t>
        </is>
      </c>
      <c r="B22" t="n">
        <v>40</v>
      </c>
      <c r="C22" t="n">
        <v>14</v>
      </c>
      <c r="D22" t="n">
        <v>13</v>
      </c>
    </row>
    <row r="23">
      <c r="A23" t="inlineStr">
        <is>
          <t>2026-05-18</t>
        </is>
      </c>
      <c r="B23" t="n">
        <v>40</v>
      </c>
      <c r="C23" t="n">
        <v>16</v>
      </c>
      <c r="D23" t="n">
        <v>13</v>
      </c>
    </row>
    <row r="24">
      <c r="A24" t="inlineStr">
        <is>
          <t>2026-05-19</t>
        </is>
      </c>
      <c r="B24" t="n">
        <v>41</v>
      </c>
      <c r="C24" t="n">
        <v>16</v>
      </c>
      <c r="D24" t="n">
        <v>14</v>
      </c>
    </row>
    <row r="25">
      <c r="A25" t="inlineStr">
        <is>
          <t>2026-05-20</t>
        </is>
      </c>
      <c r="B25" t="n">
        <v>42</v>
      </c>
      <c r="C25" t="n">
        <v>17</v>
      </c>
      <c r="D25" t="n">
        <v>17</v>
      </c>
    </row>
    <row r="26">
      <c r="A26" t="inlineStr">
        <is>
          <t>2026-05-21</t>
        </is>
      </c>
      <c r="B26" t="n">
        <v>45</v>
      </c>
      <c r="C26" t="n">
        <v>18</v>
      </c>
      <c r="D26" t="n">
        <v>17</v>
      </c>
    </row>
    <row r="27">
      <c r="A27" t="inlineStr">
        <is>
          <t>2026-05-22</t>
        </is>
      </c>
      <c r="B27" t="n">
        <v>46</v>
      </c>
      <c r="C27" t="n">
        <v>20</v>
      </c>
      <c r="D27" t="n">
        <v>20</v>
      </c>
    </row>
  </sheetData>
  <pageMargins left="0.75" right="0.75" top="1" bottom="1" header="0.5" footer="0.5"/>
  <drawing xmlns:r="http://schemas.openxmlformats.org/officeDocument/2006/relationships" r:id="rId1"/>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2026-05-22T01:39:33Z</dcterms:created>
  <dcterms:modified xsi:type="dcterms:W3CDTF">2026-05-22T01:39:33Z</dcterms:modified>
</cp:coreProperties>
</file>