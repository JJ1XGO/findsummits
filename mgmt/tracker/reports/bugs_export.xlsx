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0F0F0"/>
      </patternFill>
    </fill>
    <fill>
      <patternFill patternType="solid">
        <fgColor rgb="00FFFBE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strRef>
              <f>'欠陥収束'!$A$2:$A$76</f>
            </strRef>
          </cat>
          <val>
            <numRef>
              <f>'欠陥収束'!$B$2:$B$76</f>
            </numRef>
          </val>
          <smooth val="0"/>
        </ser>
        <ser>
          <idx val="1"/>
          <order val="1"/>
          <tx>
            <strRef>
              <f>'欠陥収束'!C1</f>
            </strRef>
          </tx>
          <spPr>
            <a:ln w="20000">
              <a:solidFill>
                <a:srgbClr val="4472C4"/>
              </a:solidFill>
              <a:prstDash val="solid"/>
            </a:ln>
          </spPr>
          <marker>
            <symbol val="none"/>
            <spPr>
              <a:ln>
                <a:prstDash val="solid"/>
              </a:ln>
            </spPr>
          </marker>
          <cat>
            <strRef>
              <f>'欠陥収束'!$A$2:$A$76</f>
            </strRef>
          </cat>
          <val>
            <numRef>
              <f>'欠陥収束'!$C$2:$C$76</f>
            </numRef>
          </val>
          <smooth val="0"/>
        </ser>
        <ser>
          <idx val="2"/>
          <order val="2"/>
          <tx>
            <strRef>
              <f>'欠陥収束'!D1</f>
            </strRef>
          </tx>
          <spPr>
            <a:ln w="20000">
              <a:solidFill>
                <a:srgbClr val="70AD47"/>
              </a:solidFill>
              <a:prstDash val="solid"/>
            </a:ln>
          </spPr>
          <marker>
            <symbol val="none"/>
            <spPr>
              <a:ln>
                <a:prstDash val="solid"/>
              </a:ln>
            </spPr>
          </marker>
          <cat>
            <strRef>
              <f>'欠陥収束'!$A$2:$A$76</f>
            </strRef>
          </cat>
          <val>
            <numRef>
              <f>'欠陥収束'!$D$2:$D$76</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5" t="inlineStr">
        <is>
          <t>BUG-004</t>
        </is>
      </c>
      <c r="B5" s="5" t="inlineStr">
        <is>
          <t>prefetchログファイル名の時刻がUTC表記</t>
        </is>
      </c>
      <c r="C5" s="5"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5" t="inlineStr">
        <is>
          <t>JJ1XGO</t>
        </is>
      </c>
      <c r="E5" s="5" t="inlineStr">
        <is>
          <t>2026-04-26</t>
        </is>
      </c>
      <c r="F5" s="5" t="inlineStr">
        <is>
          <t>IT</t>
        </is>
      </c>
      <c r="G5" s="5" t="inlineStr">
        <is>
          <t>prefetch</t>
        </is>
      </c>
      <c r="H5" s="5" t="inlineStr">
        <is>
          <t>scripts/prefetch_tiles.py</t>
        </is>
      </c>
      <c r="I5" s="5" t="inlineStr">
        <is>
          <t>毎回</t>
        </is>
      </c>
      <c r="J5" s="3" t="inlineStr">
        <is>
          <t>低</t>
        </is>
      </c>
      <c r="K5" s="5" t="inlineStr">
        <is>
          <t>解決済</t>
        </is>
      </c>
      <c r="L5" s="5" t="inlineStr">
        <is>
          <t>JJ1XGO</t>
        </is>
      </c>
      <c r="M5" s="5" t="inlineStr">
        <is>
          <t>COD</t>
        </is>
      </c>
      <c r="N5" s="5" t="inlineStr">
        <is>
          <t>scripts/prefetch_tiles.py</t>
        </is>
      </c>
      <c r="O5" s="5"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5" t="inlineStr"/>
      <c r="Q5" s="5" t="inlineStr">
        <is>
          <t>2026-07-01</t>
        </is>
      </c>
      <c r="R5" s="5" t="inlineStr">
        <is>
          <t>2026-07-01</t>
        </is>
      </c>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6"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5" t="inlineStr">
        <is>
          <t>BUG-006</t>
        </is>
      </c>
      <c r="B7" s="5" t="inlineStr">
        <is>
          <t>dem10bが存在しないタイルがある（GSI側未整備）</t>
        </is>
      </c>
      <c r="C7" s="5"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5" t="inlineStr">
        <is>
          <t>JJ1XGO</t>
        </is>
      </c>
      <c r="E7" s="5" t="inlineStr">
        <is>
          <t>2026-04-25</t>
        </is>
      </c>
      <c r="F7" s="5" t="inlineStr">
        <is>
          <t>IT</t>
        </is>
      </c>
      <c r="G7" s="5" t="inlineStr">
        <is>
          <t>解析エンジン</t>
        </is>
      </c>
      <c r="H7" s="5" t="inlineStr">
        <is>
          <t>src/elevation.c / scripts/prefetch_tiles.py</t>
        </is>
      </c>
      <c r="I7" s="5" t="inlineStr">
        <is>
          <t>毎回</t>
        </is>
      </c>
      <c r="J7" s="3" t="inlineStr">
        <is>
          <t>低</t>
        </is>
      </c>
      <c r="K7" s="5" t="inlineStr">
        <is>
          <t>却下</t>
        </is>
      </c>
      <c r="L7" s="5" t="inlineStr">
        <is>
          <t>JJ1XGO</t>
        </is>
      </c>
      <c r="M7" s="5" t="inlineStr">
        <is>
          <t>IT</t>
        </is>
      </c>
      <c r="N7" s="5" t="inlineStr"/>
      <c r="O7" s="5" t="inlineStr">
        <is>
          <t>GSI側の問題のため対応不可。Wontfix。</t>
        </is>
      </c>
      <c r="P7" s="5" t="inlineStr">
        <is>
          <t>terrain PNGでの矩形ブロック状の異常はこれが原因（仕様として受容）。</t>
        </is>
      </c>
      <c r="Q7" s="5" t="inlineStr">
        <is>
          <t>2026-04-25</t>
        </is>
      </c>
      <c r="R7" s="5" t="inlineStr">
        <is>
          <t>2026-04-26</t>
        </is>
      </c>
    </row>
    <row r="8" ht="40" customHeight="1">
      <c r="A8" s="5" t="inlineStr">
        <is>
          <t>BUG-007</t>
        </is>
      </c>
      <c r="B8" s="5" t="inlineStr">
        <is>
          <t>load_mesh_tile() 前行ゼロリセットバグ（タイル上書き破壊）</t>
        </is>
      </c>
      <c r="C8" s="5" t="inlineStr">
        <is>
          <t>load_mesh_tile() でタイル書き込み後に前行を 0 リセットしていた。calloc で初期化済みのためリセット不要だが、タイルデータを上書き破壊していた致命的バグ。</t>
        </is>
      </c>
      <c r="D8" s="5" t="inlineStr">
        <is>
          <t>JJ1XGO</t>
        </is>
      </c>
      <c r="E8" s="5" t="inlineStr">
        <is>
          <t>2026-04-18</t>
        </is>
      </c>
      <c r="F8" s="5" t="inlineStr">
        <is>
          <t>COD</t>
        </is>
      </c>
      <c r="G8" s="5" t="inlineStr">
        <is>
          <t>解析エンジン</t>
        </is>
      </c>
      <c r="H8" s="5" t="inlineStr">
        <is>
          <t>src/mesh_analyze.c</t>
        </is>
      </c>
      <c r="I8" s="5" t="inlineStr">
        <is>
          <t>毎回</t>
        </is>
      </c>
      <c r="J8" s="7" t="inlineStr">
        <is>
          <t>高</t>
        </is>
      </c>
      <c r="K8" s="5" t="inlineStr">
        <is>
          <t>解決済</t>
        </is>
      </c>
      <c r="L8" s="5" t="inlineStr">
        <is>
          <t>JJ1XGO</t>
        </is>
      </c>
      <c r="M8" s="5" t="inlineStr">
        <is>
          <t>COD</t>
        </is>
      </c>
      <c r="N8" s="5" t="inlineStr">
        <is>
          <t>src/mesh_analyze.c</t>
        </is>
      </c>
      <c r="O8" s="5" t="inlineStr">
        <is>
          <t>calloc 初期化済みのため、リセットコードを削除。</t>
        </is>
      </c>
      <c r="P8" s="5" t="inlineStr"/>
      <c r="Q8" s="5" t="inlineStr">
        <is>
          <t>2026-04-18</t>
        </is>
      </c>
      <c r="R8" s="5" t="inlineStr">
        <is>
          <t>2026-04-27</t>
        </is>
      </c>
    </row>
    <row r="9" ht="40" customHeight="1">
      <c r="A9" s="5" t="inlineStr">
        <is>
          <t>BUG-008</t>
        </is>
      </c>
      <c r="B9" s="5" t="inlineStr">
        <is>
          <t>コル検出バグ（海面境界との接触を「コル」として誤検出）</t>
        </is>
      </c>
      <c r="C9" s="5" t="inlineStr">
        <is>
          <t>Union-Find の union() 時に peak_id &lt; 0（海面コンポーネント）のチェックが抜けていた。海面境界との接触を「コル」として誤検出し、山頂の比高が過小に計算されていた。</t>
        </is>
      </c>
      <c r="D9" s="5" t="inlineStr">
        <is>
          <t>JJ1XGO</t>
        </is>
      </c>
      <c r="E9" s="5" t="inlineStr">
        <is>
          <t>2026-04-19</t>
        </is>
      </c>
      <c r="F9" s="5" t="inlineStr">
        <is>
          <t>UT</t>
        </is>
      </c>
      <c r="G9" s="5" t="inlineStr">
        <is>
          <t>解析エンジン</t>
        </is>
      </c>
      <c r="H9" s="5" t="inlineStr">
        <is>
          <t>src/unionfind.c</t>
        </is>
      </c>
      <c r="I9" s="5" t="inlineStr">
        <is>
          <t>毎回</t>
        </is>
      </c>
      <c r="J9" s="7" t="inlineStr">
        <is>
          <t>高</t>
        </is>
      </c>
      <c r="K9" s="5" t="inlineStr">
        <is>
          <t>解決済</t>
        </is>
      </c>
      <c r="L9" s="5" t="inlineStr">
        <is>
          <t>JJ1XGO</t>
        </is>
      </c>
      <c r="M9" s="5" t="inlineStr">
        <is>
          <t>COD</t>
        </is>
      </c>
      <c r="N9" s="5" t="inlineStr">
        <is>
          <t>src/unionfind.c</t>
        </is>
      </c>
      <c r="O9" s="5" t="inlineStr">
        <is>
          <t>union 時に peak_id &lt; 0 チェックを追加して海面コンポーネントを除外。</t>
        </is>
      </c>
      <c r="P9" s="5" t="inlineStr"/>
      <c r="Q9" s="5" t="inlineStr">
        <is>
          <t>2026-04-19</t>
        </is>
      </c>
      <c r="R9" s="5" t="inlineStr">
        <is>
          <t>2026-04-27</t>
        </is>
      </c>
    </row>
    <row r="10" ht="40" customHeight="1">
      <c r="A10" s="5" t="inlineStr">
        <is>
          <t>BUG-009</t>
        </is>
      </c>
      <c r="B10" s="5" t="inlineStr">
        <is>
          <t>整数オーバーフロー/SIGSEGV（5239解析で2.7億px &gt; int32_t上限）</t>
        </is>
      </c>
      <c r="C10" s="5" t="inlineStr">
        <is>
          <t>ピクセルインデックスを int32_t で管理していたため、5239 解析（70,146×38,402px = 約2.7億px）で int32_t 上限（2.1億）を超えオーバーフロー → SIGSEGV で異常終了。</t>
        </is>
      </c>
      <c r="D10" s="5" t="inlineStr">
        <is>
          <t>JJ1XGO</t>
        </is>
      </c>
      <c r="E10" s="5" t="inlineStr">
        <is>
          <t>2026-04-24</t>
        </is>
      </c>
      <c r="F10" s="5" t="inlineStr">
        <is>
          <t>IT</t>
        </is>
      </c>
      <c r="G10" s="5" t="inlineStr">
        <is>
          <t>解析エンジン</t>
        </is>
      </c>
      <c r="H10" s="5" t="inlineStr">
        <is>
          <t>src/analyze.c, src/unionfind.h/c, src/elevation.c</t>
        </is>
      </c>
      <c r="I10" s="5" t="inlineStr">
        <is>
          <t>毎回</t>
        </is>
      </c>
      <c r="J10" s="7" t="inlineStr">
        <is>
          <t>高</t>
        </is>
      </c>
      <c r="K10" s="5" t="inlineStr">
        <is>
          <t>解決済</t>
        </is>
      </c>
      <c r="L10" s="5" t="inlineStr">
        <is>
          <t>JJ1XGO</t>
        </is>
      </c>
      <c r="M10" s="5" t="inlineStr">
        <is>
          <t>COD</t>
        </is>
      </c>
      <c r="N10" s="5" t="inlineStr">
        <is>
          <t>src/analyze.c</t>
        </is>
      </c>
      <c r="O10" s="5" t="inlineStr">
        <is>
          <t>ピクセルインデックスを uint32_t / size_t に変更。コミット: fb9fcfd</t>
        </is>
      </c>
      <c r="P10" s="5" t="inlineStr"/>
      <c r="Q10" s="5" t="inlineStr">
        <is>
          <t>2026-04-24</t>
        </is>
      </c>
      <c r="R10" s="5" t="inlineStr">
        <is>
          <t>2026-04-27</t>
        </is>
      </c>
    </row>
    <row r="11" ht="40" customHeight="1">
      <c r="A11" s="5" t="inlineStr">
        <is>
          <t>BUG-010</t>
        </is>
      </c>
      <c r="B11" s="5" t="inlineStr">
        <is>
          <t>dem10b URL誤設定（dem10b_png → dem_png）</t>
        </is>
      </c>
      <c r="C11" s="5" t="inlineStr">
        <is>
          <t>prefetch_tiles.py の GSI_DEM10B_URL が dem10b_png だったが、正しいサービス名は dem_png。HTTP 404 が返り続けていたが取得漏れと区別できなかった。</t>
        </is>
      </c>
      <c r="D11" s="5" t="inlineStr">
        <is>
          <t>JJ1XGO</t>
        </is>
      </c>
      <c r="E11" s="5" t="inlineStr">
        <is>
          <t>2026-04-24</t>
        </is>
      </c>
      <c r="F11" s="5" t="inlineStr">
        <is>
          <t>IT</t>
        </is>
      </c>
      <c r="G11" s="5" t="inlineStr">
        <is>
          <t>prefetch</t>
        </is>
      </c>
      <c r="H11" s="5" t="inlineStr">
        <is>
          <t>scripts/prefetch_tiles.py</t>
        </is>
      </c>
      <c r="I11" s="5" t="inlineStr">
        <is>
          <t>毎回</t>
        </is>
      </c>
      <c r="J11" s="6" t="inlineStr">
        <is>
          <t>中</t>
        </is>
      </c>
      <c r="K11" s="5" t="inlineStr">
        <is>
          <t>解決済</t>
        </is>
      </c>
      <c r="L11" s="5" t="inlineStr">
        <is>
          <t>JJ1XGO</t>
        </is>
      </c>
      <c r="M11" s="5" t="inlineStr">
        <is>
          <t>COD</t>
        </is>
      </c>
      <c r="N11" s="5" t="inlineStr">
        <is>
          <t>scripts/prefetch_tiles.py</t>
        </is>
      </c>
      <c r="O11" s="5" t="inlineStr">
        <is>
          <t>GSI_DEM10B_URL を dem_png に修正。動作確認済み（HTTP 200）。コミット: fb9fcfd</t>
        </is>
      </c>
      <c r="P11" s="5" t="inlineStr"/>
      <c r="Q11" s="5" t="inlineStr">
        <is>
          <t>2026-04-24</t>
        </is>
      </c>
      <c r="R11" s="5" t="inlineStr">
        <is>
          <t>2026-04-27</t>
        </is>
      </c>
    </row>
    <row r="12" ht="40" customHeight="1">
      <c r="A12" s="5" t="inlineStr">
        <is>
          <t>BUG-011</t>
        </is>
      </c>
      <c r="B12" s="5" t="inlineStr">
        <is>
          <t>dem10b座標変換バグ（terrain PNG 格子状パターンの原因）</t>
        </is>
      </c>
      <c r="C12" s="5"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5" t="inlineStr">
        <is>
          <t>JJ1XGO</t>
        </is>
      </c>
      <c r="E12" s="5" t="inlineStr">
        <is>
          <t>2026-04-25</t>
        </is>
      </c>
      <c r="F12" s="5" t="inlineStr">
        <is>
          <t>IT</t>
        </is>
      </c>
      <c r="G12" s="5" t="inlineStr">
        <is>
          <t>解析エンジン</t>
        </is>
      </c>
      <c r="H12" s="5" t="inlineStr">
        <is>
          <t>src/elevation.c</t>
        </is>
      </c>
      <c r="I12" s="5" t="inlineStr">
        <is>
          <t>毎回</t>
        </is>
      </c>
      <c r="J12" s="6" t="inlineStr">
        <is>
          <t>中</t>
        </is>
      </c>
      <c r="K12" s="5" t="inlineStr">
        <is>
          <t>解決済</t>
        </is>
      </c>
      <c r="L12" s="5" t="inlineStr">
        <is>
          <t>JJ1XGO</t>
        </is>
      </c>
      <c r="M12" s="5" t="inlineStr">
        <is>
          <t>COD</t>
        </is>
      </c>
      <c r="N12" s="5" t="inlineStr">
        <is>
          <t>src/elevation.c</t>
        </is>
      </c>
      <c r="O12" s="5" t="inlineStr">
        <is>
          <t>* TILE_PIX → * (TILE_PIX/2) + (px-1)/2 に修正。コミット: d0bb0b9</t>
        </is>
      </c>
      <c r="P12" s="5" t="inlineStr"/>
      <c r="Q12" s="5" t="inlineStr">
        <is>
          <t>2026-04-25</t>
        </is>
      </c>
      <c r="R12" s="5" t="inlineStr">
        <is>
          <t>2026-04-27</t>
        </is>
      </c>
    </row>
    <row r="13" ht="40" customHeight="1">
      <c r="A13" s="5" t="inlineStr">
        <is>
          <t>BUG-012</t>
        </is>
      </c>
      <c r="B13" s="5" t="inlineStr">
        <is>
          <t>DEFAULT_SUMMITSLIST パス誤設定（DATA_DIR/ref/ → プロジェクト直下）</t>
        </is>
      </c>
      <c r="C13" s="5" t="inlineStr">
        <is>
          <t>merge.py の DEFAULT_SUMMITSLIST が DATA_DIR 配下の ref/ を参照していた。DATA_DIR は環境依存パスのためプロジェクト同梱の summitslist.csv が見つからなかった。</t>
        </is>
      </c>
      <c r="D13" s="5" t="inlineStr">
        <is>
          <t>JJ1XGO</t>
        </is>
      </c>
      <c r="E13" s="5" t="inlineStr">
        <is>
          <t>2026-04-26</t>
        </is>
      </c>
      <c r="F13" s="5" t="inlineStr">
        <is>
          <t>IT</t>
        </is>
      </c>
      <c r="G13" s="5" t="inlineStr">
        <is>
          <t>merge.py</t>
        </is>
      </c>
      <c r="H13" s="5" t="inlineStr">
        <is>
          <t>scripts/merge.py</t>
        </is>
      </c>
      <c r="I13" s="5" t="inlineStr">
        <is>
          <t>毎回</t>
        </is>
      </c>
      <c r="J13" s="6" t="inlineStr">
        <is>
          <t>中</t>
        </is>
      </c>
      <c r="K13" s="5" t="inlineStr">
        <is>
          <t>解決済</t>
        </is>
      </c>
      <c r="L13" s="5" t="inlineStr">
        <is>
          <t>JJ1XGO</t>
        </is>
      </c>
      <c r="M13" s="5" t="inlineStr">
        <is>
          <t>COD</t>
        </is>
      </c>
      <c r="N13" s="5" t="inlineStr">
        <is>
          <t>scripts/merge.py</t>
        </is>
      </c>
      <c r="O13" s="5" t="inlineStr">
        <is>
          <t>Path(__file__).parent.parent / 'ref/summitslist.csv' に修正。</t>
        </is>
      </c>
      <c r="P13" s="5" t="inlineStr"/>
      <c r="Q13" s="5" t="inlineStr">
        <is>
          <t>2026-04-26</t>
        </is>
      </c>
      <c r="R13" s="5"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5" t="inlineStr">
        <is>
          <t>BUG-014</t>
        </is>
      </c>
      <c r="B15" s="5" t="inlineStr">
        <is>
          <t>combined 画像の地理境界外ピークが CSV に混入する</t>
        </is>
      </c>
      <c r="C15" s="5"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5" t="inlineStr"/>
      <c r="E15" s="5" t="inlineStr">
        <is>
          <t>2026-05-02</t>
        </is>
      </c>
      <c r="F15" s="5" t="inlineStr">
        <is>
          <t>IT</t>
        </is>
      </c>
      <c r="G15" s="5" t="inlineStr">
        <is>
          <t>解析エンジン</t>
        </is>
      </c>
      <c r="H15" s="5" t="inlineStr">
        <is>
          <t>src/mesh_analyze.c</t>
        </is>
      </c>
      <c r="I15" s="5" t="inlineStr">
        <is>
          <t>毎回</t>
        </is>
      </c>
      <c r="J15" s="6" t="inlineStr">
        <is>
          <t>中</t>
        </is>
      </c>
      <c r="K15" s="5" t="inlineStr">
        <is>
          <t>解決済</t>
        </is>
      </c>
      <c r="L15" s="5" t="inlineStr"/>
      <c r="M15" s="5" t="inlineStr">
        <is>
          <t>COD</t>
        </is>
      </c>
      <c r="N15" s="5" t="inlineStr">
        <is>
          <t>src/mesh_analyze.c</t>
        </is>
      </c>
      <c r="O15" s="5" t="inlineStr">
        <is>
          <t>CSV 出力ループで mesh_set 地理範囲外ピークをスキップ（C 側フィルタ）</t>
        </is>
      </c>
      <c r="P15" s="5" t="inlineStr"/>
      <c r="Q15" s="5" t="inlineStr">
        <is>
          <t>2026-05-02</t>
        </is>
      </c>
      <c r="R15" s="5" t="inlineStr">
        <is>
          <t>2026-05-02</t>
        </is>
      </c>
    </row>
    <row r="16" ht="40" customHeight="1">
      <c r="A16" s="5" t="inlineStr">
        <is>
          <t>BUG-015</t>
        </is>
      </c>
      <c r="B16" s="5" t="inlineStr">
        <is>
          <t>load_dotenv()がINI値の先頭空白をトリムせずDATA_DIR未設定環境でパスが壊れる</t>
        </is>
      </c>
      <c r="C16" s="5" t="inlineStr">
        <is>
          <t>params/config.iniは「DATA_DIR = /data」(等号の後に半角スペース)と記述されている。load_dotenv()は値の先頭空白をトリムしない(末尾のみトリム)ため、環境変数DATA_DIRが未設定の環境で実行するとdata_dirが" /data"(先頭スペース付き)になり、以降構築される全パス(tile_dir/img_dir/result_dir)が壊れる。9メッシュ結合(5237-5439)でのtest_terrain_image実行時に、(a) elev_fill_nodata_dem10b()のtile_dem10b_is_cached()が実在する13683件を含む全15481件を「未キャッシュ」と誤判定、(b) save_terrain_rgb_image()のfopen()が存在しないパスへの書き込みを試み失敗(地形図PNG未生成)、として発覚。setenv(...,0)で既存の環境変数を優先するため、環境変数DATA_DIRが別途正しく設定されている運用環境では顕在化しない可能性がある。</t>
        </is>
      </c>
      <c r="D16" s="5" t="inlineStr">
        <is>
          <t>Sonnet</t>
        </is>
      </c>
      <c r="E16" s="5" t="inlineStr">
        <is>
          <t>2026-07-01</t>
        </is>
      </c>
      <c r="F16" s="5" t="inlineStr">
        <is>
          <t>COD</t>
        </is>
      </c>
      <c r="G16" s="5" t="inlineStr">
        <is>
          <t>その他</t>
        </is>
      </c>
      <c r="H16" s="5" t="inlineStr">
        <is>
          <t>src/main.c,tests/test_mesh_analyze.c,tests/test_terrain_image.c</t>
        </is>
      </c>
      <c r="I16" s="5" t="inlineStr">
        <is>
          <t>DATA_DIR環境変数が未設定の状態で実行すると毎回</t>
        </is>
      </c>
      <c r="J16" s="7" t="inlineStr">
        <is>
          <t>高</t>
        </is>
      </c>
      <c r="K16" s="5" t="inlineStr">
        <is>
          <t>解決済</t>
        </is>
      </c>
      <c r="L16" s="5" t="inlineStr"/>
      <c r="M16" s="5" t="inlineStr">
        <is>
          <t>COD</t>
        </is>
      </c>
      <c r="N16" s="5" t="inlineStr">
        <is>
          <t>src/main.c</t>
        </is>
      </c>
      <c r="O16" s="5" t="inlineStr">
        <is>
          <t>load_dotenv()のvalパース処理(vstart = eq + 1の直後)に先頭空白/タブのスキップを追加する。main.c/test_mesh_analyze.c/test_terrain_image.cの3箇所に同一ロジックが重複実装されているため、修正は3箇所全てに適用する。</t>
        </is>
      </c>
      <c r="P16" s="5" t="inlineStr"/>
      <c r="Q16" s="5" t="inlineStr">
        <is>
          <t>2026-07-01</t>
        </is>
      </c>
      <c r="R16" s="5" t="inlineStr">
        <is>
          <t>2026-07-01</t>
        </is>
      </c>
    </row>
    <row r="17" ht="40" customHeight="1">
      <c r="A17" s="5" t="inlineStr">
        <is>
          <t>BUG-016</t>
        </is>
      </c>
      <c r="B17" s="5" t="inlineStr">
        <is>
          <t>prefetch_tiles.pyの進捗表示がdem5フォールバック試行分を含み100%を超える</t>
        </is>
      </c>
      <c r="C17" s="5" t="inlineStr">
        <is>
          <t>進捗表示(進捗: X/Y (Z%))の分子X(_total_done()の集計)はdem5フォールバック試行数(a→b→cで1ジョブが最大3回カウントされ得る)を含むが、分母Y(total_jobs)はジョブ数のまま。実測で9メッシュ(5237-5439)分の実行時に92899/77131(120.4%相当)まで進捗が到達し、表示上「進捗率」がユーザーに誤解を与える。実処理自体は正常完了しており(エラー0件)、機能的な欠陥ではなく表示のみの問題。</t>
        </is>
      </c>
      <c r="D17" s="5" t="inlineStr">
        <is>
          <t>Sonnet</t>
        </is>
      </c>
      <c r="E17" s="5" t="inlineStr">
        <is>
          <t>2026-07-01</t>
        </is>
      </c>
      <c r="F17" s="5" t="inlineStr">
        <is>
          <t>COD</t>
        </is>
      </c>
      <c r="G17" s="5" t="inlineStr">
        <is>
          <t>prefetch</t>
        </is>
      </c>
      <c r="H17" s="5" t="inlineStr">
        <is>
          <t>scripts/prefetch_tiles.py</t>
        </is>
      </c>
      <c r="I17" s="5" t="inlineStr">
        <is>
          <t>dem5aが404となるタイルを多く含むメッシュリストで実行すると毎回</t>
        </is>
      </c>
      <c r="J17" s="3" t="inlineStr">
        <is>
          <t>低</t>
        </is>
      </c>
      <c r="K17" s="5" t="inlineStr">
        <is>
          <t>解決済</t>
        </is>
      </c>
      <c r="L17" s="5" t="inlineStr"/>
      <c r="M17" s="5" t="inlineStr">
        <is>
          <t>COD</t>
        </is>
      </c>
      <c r="N17" s="5" t="inlineStr">
        <is>
          <t>scripts/prefetch_tiles.py</t>
        </is>
      </c>
      <c r="O17" s="5" t="inlineStr">
        <is>
          <t>進捗表示の分母を実際のフォールバック試行込みの総カウント数に変更する、または分子をジョブ完了数(job_queueのtask_done基準)に変更するなど、分子分母の基準を揃える。</t>
        </is>
      </c>
      <c r="P17" s="5" t="inlineStr"/>
      <c r="Q17" s="5" t="inlineStr">
        <is>
          <t>2026-07-01</t>
        </is>
      </c>
      <c r="R17" s="5" t="inlineStr">
        <is>
          <t>2026-07-01</t>
        </is>
      </c>
    </row>
  </sheetData>
  <dataValidations count="4">
    <dataValidation sqref="K2:K17" showDropDown="0" showInputMessage="0" showErrorMessage="0" allowBlank="1" type="list">
      <formula1>"未対応,対応中,対応完了,解決済,却下"</formula1>
    </dataValidation>
    <dataValidation sqref="J2:J17" showDropDown="0" showInputMessage="0" showErrorMessage="0" allowBlank="1" type="list">
      <formula1>"高,中,低"</formula1>
    </dataValidation>
    <dataValidation sqref="F2:F17" showDropDown="0" showInputMessage="0" showErrorMessage="0" allowBlank="1" type="list">
      <formula1>"URD,SRS,HLD,LLD,COD,UT,IT,ST,OPS"</formula1>
    </dataValidation>
    <dataValidation sqref="M2:M1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16</v>
      </c>
    </row>
    <row r="3">
      <c r="A3" s="10" t="inlineStr">
        <is>
          <t>未解決件数</t>
        </is>
      </c>
      <c r="B3" s="11" t="n">
        <v>5</v>
      </c>
    </row>
    <row r="4">
      <c r="A4" s="10" t="inlineStr">
        <is>
          <t>解決済件数</t>
        </is>
      </c>
      <c r="B4" s="11" t="n">
        <v>10</v>
      </c>
    </row>
    <row r="5">
      <c r="A5" s="10" t="inlineStr">
        <is>
          <t>解決率</t>
        </is>
      </c>
      <c r="B5" s="11" t="inlineStr">
        <is>
          <t>62.5%</t>
        </is>
      </c>
    </row>
    <row r="7">
      <c r="A7" s="8" t="inlineStr">
        <is>
          <t>ステータス別</t>
        </is>
      </c>
      <c r="B7" s="9" t="n"/>
    </row>
    <row r="8">
      <c r="A8" s="10" t="inlineStr">
        <is>
          <t>未対応</t>
        </is>
      </c>
      <c r="B8" s="11" t="n">
        <v>5</v>
      </c>
    </row>
    <row r="9">
      <c r="A9" s="10" t="inlineStr">
        <is>
          <t>対応中</t>
        </is>
      </c>
      <c r="B9" s="11" t="n">
        <v>0</v>
      </c>
    </row>
    <row r="10">
      <c r="A10" s="10" t="inlineStr">
        <is>
          <t>対応完了</t>
        </is>
      </c>
      <c r="B10" s="11" t="n">
        <v>0</v>
      </c>
    </row>
    <row r="11">
      <c r="A11" s="10" t="inlineStr">
        <is>
          <t>解決済</t>
        </is>
      </c>
      <c r="B11" s="11" t="n">
        <v>10</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1</v>
      </c>
    </row>
    <row r="17">
      <c r="A17" s="10" t="inlineStr">
        <is>
          <t>低</t>
        </is>
      </c>
      <c r="B17" s="11" t="n">
        <v>4</v>
      </c>
    </row>
    <row r="19">
      <c r="A19" s="8" t="inlineStr">
        <is>
          <t>カテゴリ別（未解決）</t>
        </is>
      </c>
      <c r="B19" s="9" t="n"/>
    </row>
    <row r="20">
      <c r="A20" s="10" t="inlineStr">
        <is>
          <t>解析エンジン</t>
        </is>
      </c>
      <c r="B20" s="11" t="n">
        <v>3</v>
      </c>
    </row>
    <row r="21">
      <c r="A21" s="10" t="inlineStr">
        <is>
          <t>merge.py</t>
        </is>
      </c>
      <c r="B21" s="11" t="n">
        <v>1</v>
      </c>
    </row>
    <row r="22">
      <c r="A22" s="10" t="inlineStr">
        <is>
          <t>prefetch</t>
        </is>
      </c>
      <c r="B22" s="11" t="n">
        <v>1</v>
      </c>
    </row>
    <row r="24">
      <c r="A24" s="8" t="inlineStr">
        <is>
          <t>発生源ステージ別（未解決）</t>
        </is>
      </c>
      <c r="B24" s="9" t="n"/>
    </row>
    <row r="25">
      <c r="A25" s="10" t="inlineStr">
        <is>
          <t>COD</t>
        </is>
      </c>
      <c r="B25" s="11" t="n">
        <v>4</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8</v>
      </c>
    </row>
    <row r="17">
      <c r="A17" t="inlineStr">
        <is>
          <t>2026-05-03</t>
        </is>
      </c>
      <c r="B17" t="n">
        <v>14</v>
      </c>
      <c r="C17" t="n">
        <v>8</v>
      </c>
      <c r="D17" t="n">
        <v>8</v>
      </c>
    </row>
    <row r="18">
      <c r="A18" t="inlineStr">
        <is>
          <t>2026-05-04</t>
        </is>
      </c>
      <c r="B18" t="n">
        <v>14</v>
      </c>
      <c r="C18" t="n">
        <v>8</v>
      </c>
      <c r="D18" t="n">
        <v>8</v>
      </c>
    </row>
    <row r="19">
      <c r="A19" t="inlineStr">
        <is>
          <t>2026-05-05</t>
        </is>
      </c>
      <c r="B19" t="n">
        <v>14</v>
      </c>
      <c r="C19" t="n">
        <v>8</v>
      </c>
      <c r="D19" t="n">
        <v>8</v>
      </c>
    </row>
    <row r="20">
      <c r="A20" t="inlineStr">
        <is>
          <t>2026-05-06</t>
        </is>
      </c>
      <c r="B20" t="n">
        <v>14</v>
      </c>
      <c r="C20" t="n">
        <v>8</v>
      </c>
      <c r="D20" t="n">
        <v>8</v>
      </c>
    </row>
    <row r="21">
      <c r="A21" t="inlineStr">
        <is>
          <t>2026-05-07</t>
        </is>
      </c>
      <c r="B21" t="n">
        <v>14</v>
      </c>
      <c r="C21" t="n">
        <v>8</v>
      </c>
      <c r="D21" t="n">
        <v>8</v>
      </c>
    </row>
    <row r="22">
      <c r="A22" t="inlineStr">
        <is>
          <t>2026-05-08</t>
        </is>
      </c>
      <c r="B22" t="n">
        <v>14</v>
      </c>
      <c r="C22" t="n">
        <v>8</v>
      </c>
      <c r="D22" t="n">
        <v>8</v>
      </c>
    </row>
    <row r="23">
      <c r="A23" t="inlineStr">
        <is>
          <t>2026-05-09</t>
        </is>
      </c>
      <c r="B23" t="n">
        <v>14</v>
      </c>
      <c r="C23" t="n">
        <v>8</v>
      </c>
      <c r="D23" t="n">
        <v>8</v>
      </c>
    </row>
    <row r="24">
      <c r="A24" t="inlineStr">
        <is>
          <t>2026-05-10</t>
        </is>
      </c>
      <c r="B24" t="n">
        <v>14</v>
      </c>
      <c r="C24" t="n">
        <v>8</v>
      </c>
      <c r="D24" t="n">
        <v>8</v>
      </c>
    </row>
    <row r="25">
      <c r="A25" t="inlineStr">
        <is>
          <t>2026-05-11</t>
        </is>
      </c>
      <c r="B25" t="n">
        <v>14</v>
      </c>
      <c r="C25" t="n">
        <v>8</v>
      </c>
      <c r="D25" t="n">
        <v>8</v>
      </c>
    </row>
    <row r="26">
      <c r="A26" t="inlineStr">
        <is>
          <t>2026-05-12</t>
        </is>
      </c>
      <c r="B26" t="n">
        <v>14</v>
      </c>
      <c r="C26" t="n">
        <v>8</v>
      </c>
      <c r="D26" t="n">
        <v>8</v>
      </c>
    </row>
    <row r="27">
      <c r="A27" t="inlineStr">
        <is>
          <t>2026-05-13</t>
        </is>
      </c>
      <c r="B27" t="n">
        <v>14</v>
      </c>
      <c r="C27" t="n">
        <v>8</v>
      </c>
      <c r="D27" t="n">
        <v>8</v>
      </c>
    </row>
    <row r="28">
      <c r="A28" t="inlineStr">
        <is>
          <t>2026-05-14</t>
        </is>
      </c>
      <c r="B28" t="n">
        <v>14</v>
      </c>
      <c r="C28" t="n">
        <v>8</v>
      </c>
      <c r="D28" t="n">
        <v>8</v>
      </c>
    </row>
    <row r="29">
      <c r="A29" t="inlineStr">
        <is>
          <t>2026-05-15</t>
        </is>
      </c>
      <c r="B29" t="n">
        <v>14</v>
      </c>
      <c r="C29" t="n">
        <v>8</v>
      </c>
      <c r="D29" t="n">
        <v>8</v>
      </c>
    </row>
    <row r="30">
      <c r="A30" t="inlineStr">
        <is>
          <t>2026-05-16</t>
        </is>
      </c>
      <c r="B30" t="n">
        <v>14</v>
      </c>
      <c r="C30" t="n">
        <v>8</v>
      </c>
      <c r="D30" t="n">
        <v>8</v>
      </c>
    </row>
    <row r="31">
      <c r="A31" t="inlineStr">
        <is>
          <t>2026-05-17</t>
        </is>
      </c>
      <c r="B31" t="n">
        <v>14</v>
      </c>
      <c r="C31" t="n">
        <v>8</v>
      </c>
      <c r="D31" t="n">
        <v>8</v>
      </c>
    </row>
    <row r="32">
      <c r="A32" t="inlineStr">
        <is>
          <t>2026-05-18</t>
        </is>
      </c>
      <c r="B32" t="n">
        <v>14</v>
      </c>
      <c r="C32" t="n">
        <v>8</v>
      </c>
      <c r="D32" t="n">
        <v>8</v>
      </c>
    </row>
    <row r="33">
      <c r="A33" t="inlineStr">
        <is>
          <t>2026-05-19</t>
        </is>
      </c>
      <c r="B33" t="n">
        <v>14</v>
      </c>
      <c r="C33" t="n">
        <v>8</v>
      </c>
      <c r="D33" t="n">
        <v>8</v>
      </c>
    </row>
    <row r="34">
      <c r="A34" t="inlineStr">
        <is>
          <t>2026-05-20</t>
        </is>
      </c>
      <c r="B34" t="n">
        <v>14</v>
      </c>
      <c r="C34" t="n">
        <v>8</v>
      </c>
      <c r="D34" t="n">
        <v>8</v>
      </c>
    </row>
    <row r="35">
      <c r="A35" t="inlineStr">
        <is>
          <t>2026-05-21</t>
        </is>
      </c>
      <c r="B35" t="n">
        <v>14</v>
      </c>
      <c r="C35" t="n">
        <v>8</v>
      </c>
      <c r="D35" t="n">
        <v>8</v>
      </c>
    </row>
    <row r="36">
      <c r="A36" t="inlineStr">
        <is>
          <t>2026-05-22</t>
        </is>
      </c>
      <c r="B36" t="n">
        <v>14</v>
      </c>
      <c r="C36" t="n">
        <v>8</v>
      </c>
      <c r="D36" t="n">
        <v>8</v>
      </c>
    </row>
    <row r="37">
      <c r="A37" t="inlineStr">
        <is>
          <t>2026-05-23</t>
        </is>
      </c>
      <c r="B37" t="n">
        <v>14</v>
      </c>
      <c r="C37" t="n">
        <v>8</v>
      </c>
      <c r="D37" t="n">
        <v>8</v>
      </c>
    </row>
    <row r="38">
      <c r="A38" t="inlineStr">
        <is>
          <t>2026-05-24</t>
        </is>
      </c>
      <c r="B38" t="n">
        <v>14</v>
      </c>
      <c r="C38" t="n">
        <v>8</v>
      </c>
      <c r="D38" t="n">
        <v>8</v>
      </c>
    </row>
    <row r="39">
      <c r="A39" t="inlineStr">
        <is>
          <t>2026-05-25</t>
        </is>
      </c>
      <c r="B39" t="n">
        <v>14</v>
      </c>
      <c r="C39" t="n">
        <v>8</v>
      </c>
      <c r="D39" t="n">
        <v>8</v>
      </c>
    </row>
    <row r="40">
      <c r="A40" t="inlineStr">
        <is>
          <t>2026-05-26</t>
        </is>
      </c>
      <c r="B40" t="n">
        <v>14</v>
      </c>
      <c r="C40" t="n">
        <v>8</v>
      </c>
      <c r="D40" t="n">
        <v>8</v>
      </c>
    </row>
    <row r="41">
      <c r="A41" t="inlineStr">
        <is>
          <t>2026-05-27</t>
        </is>
      </c>
      <c r="B41" t="n">
        <v>14</v>
      </c>
      <c r="C41" t="n">
        <v>8</v>
      </c>
      <c r="D41" t="n">
        <v>8</v>
      </c>
    </row>
    <row r="42">
      <c r="A42" t="inlineStr">
        <is>
          <t>2026-05-28</t>
        </is>
      </c>
      <c r="B42" t="n">
        <v>14</v>
      </c>
      <c r="C42" t="n">
        <v>8</v>
      </c>
      <c r="D42" t="n">
        <v>8</v>
      </c>
    </row>
    <row r="43">
      <c r="A43" t="inlineStr">
        <is>
          <t>2026-05-29</t>
        </is>
      </c>
      <c r="B43" t="n">
        <v>14</v>
      </c>
      <c r="C43" t="n">
        <v>8</v>
      </c>
      <c r="D43" t="n">
        <v>8</v>
      </c>
    </row>
    <row r="44">
      <c r="A44" t="inlineStr">
        <is>
          <t>2026-05-30</t>
        </is>
      </c>
      <c r="B44" t="n">
        <v>14</v>
      </c>
      <c r="C44" t="n">
        <v>8</v>
      </c>
      <c r="D44" t="n">
        <v>8</v>
      </c>
    </row>
    <row r="45">
      <c r="A45" t="inlineStr">
        <is>
          <t>2026-05-31</t>
        </is>
      </c>
      <c r="B45" t="n">
        <v>14</v>
      </c>
      <c r="C45" t="n">
        <v>8</v>
      </c>
      <c r="D45" t="n">
        <v>8</v>
      </c>
    </row>
    <row r="46">
      <c r="A46" t="inlineStr">
        <is>
          <t>2026-06-01</t>
        </is>
      </c>
      <c r="B46" t="n">
        <v>14</v>
      </c>
      <c r="C46" t="n">
        <v>8</v>
      </c>
      <c r="D46" t="n">
        <v>8</v>
      </c>
    </row>
    <row r="47">
      <c r="A47" t="inlineStr">
        <is>
          <t>2026-06-02</t>
        </is>
      </c>
      <c r="B47" t="n">
        <v>14</v>
      </c>
      <c r="C47" t="n">
        <v>8</v>
      </c>
      <c r="D47" t="n">
        <v>8</v>
      </c>
    </row>
    <row r="48">
      <c r="A48" t="inlineStr">
        <is>
          <t>2026-06-03</t>
        </is>
      </c>
      <c r="B48" t="n">
        <v>14</v>
      </c>
      <c r="C48" t="n">
        <v>8</v>
      </c>
      <c r="D48" t="n">
        <v>8</v>
      </c>
    </row>
    <row r="49">
      <c r="A49" t="inlineStr">
        <is>
          <t>2026-06-04</t>
        </is>
      </c>
      <c r="B49" t="n">
        <v>14</v>
      </c>
      <c r="C49" t="n">
        <v>8</v>
      </c>
      <c r="D49" t="n">
        <v>8</v>
      </c>
    </row>
    <row r="50">
      <c r="A50" t="inlineStr">
        <is>
          <t>2026-06-05</t>
        </is>
      </c>
      <c r="B50" t="n">
        <v>14</v>
      </c>
      <c r="C50" t="n">
        <v>8</v>
      </c>
      <c r="D50" t="n">
        <v>8</v>
      </c>
    </row>
    <row r="51">
      <c r="A51" t="inlineStr">
        <is>
          <t>2026-06-06</t>
        </is>
      </c>
      <c r="B51" t="n">
        <v>14</v>
      </c>
      <c r="C51" t="n">
        <v>8</v>
      </c>
      <c r="D51" t="n">
        <v>8</v>
      </c>
    </row>
    <row r="52">
      <c r="A52" t="inlineStr">
        <is>
          <t>2026-06-07</t>
        </is>
      </c>
      <c r="B52" t="n">
        <v>14</v>
      </c>
      <c r="C52" t="n">
        <v>8</v>
      </c>
      <c r="D52" t="n">
        <v>8</v>
      </c>
    </row>
    <row r="53">
      <c r="A53" t="inlineStr">
        <is>
          <t>2026-06-08</t>
        </is>
      </c>
      <c r="B53" t="n">
        <v>14</v>
      </c>
      <c r="C53" t="n">
        <v>8</v>
      </c>
      <c r="D53" t="n">
        <v>8</v>
      </c>
    </row>
    <row r="54">
      <c r="A54" t="inlineStr">
        <is>
          <t>2026-06-09</t>
        </is>
      </c>
      <c r="B54" t="n">
        <v>14</v>
      </c>
      <c r="C54" t="n">
        <v>8</v>
      </c>
      <c r="D54" t="n">
        <v>8</v>
      </c>
    </row>
    <row r="55">
      <c r="A55" t="inlineStr">
        <is>
          <t>2026-06-10</t>
        </is>
      </c>
      <c r="B55" t="n">
        <v>14</v>
      </c>
      <c r="C55" t="n">
        <v>8</v>
      </c>
      <c r="D55" t="n">
        <v>8</v>
      </c>
    </row>
    <row r="56">
      <c r="A56" t="inlineStr">
        <is>
          <t>2026-06-11</t>
        </is>
      </c>
      <c r="B56" t="n">
        <v>14</v>
      </c>
      <c r="C56" t="n">
        <v>8</v>
      </c>
      <c r="D56" t="n">
        <v>8</v>
      </c>
    </row>
    <row r="57">
      <c r="A57" t="inlineStr">
        <is>
          <t>2026-06-12</t>
        </is>
      </c>
      <c r="B57" t="n">
        <v>14</v>
      </c>
      <c r="C57" t="n">
        <v>8</v>
      </c>
      <c r="D57" t="n">
        <v>8</v>
      </c>
    </row>
    <row r="58">
      <c r="A58" t="inlineStr">
        <is>
          <t>2026-06-13</t>
        </is>
      </c>
      <c r="B58" t="n">
        <v>14</v>
      </c>
      <c r="C58" t="n">
        <v>8</v>
      </c>
      <c r="D58" t="n">
        <v>8</v>
      </c>
    </row>
    <row r="59">
      <c r="A59" t="inlineStr">
        <is>
          <t>2026-06-14</t>
        </is>
      </c>
      <c r="B59" t="n">
        <v>14</v>
      </c>
      <c r="C59" t="n">
        <v>8</v>
      </c>
      <c r="D59" t="n">
        <v>8</v>
      </c>
    </row>
    <row r="60">
      <c r="A60" t="inlineStr">
        <is>
          <t>2026-06-15</t>
        </is>
      </c>
      <c r="B60" t="n">
        <v>14</v>
      </c>
      <c r="C60" t="n">
        <v>8</v>
      </c>
      <c r="D60" t="n">
        <v>8</v>
      </c>
    </row>
    <row r="61">
      <c r="A61" t="inlineStr">
        <is>
          <t>2026-06-16</t>
        </is>
      </c>
      <c r="B61" t="n">
        <v>14</v>
      </c>
      <c r="C61" t="n">
        <v>8</v>
      </c>
      <c r="D61" t="n">
        <v>8</v>
      </c>
    </row>
    <row r="62">
      <c r="A62" t="inlineStr">
        <is>
          <t>2026-06-17</t>
        </is>
      </c>
      <c r="B62" t="n">
        <v>14</v>
      </c>
      <c r="C62" t="n">
        <v>8</v>
      </c>
      <c r="D62" t="n">
        <v>8</v>
      </c>
    </row>
    <row r="63">
      <c r="A63" t="inlineStr">
        <is>
          <t>2026-06-18</t>
        </is>
      </c>
      <c r="B63" t="n">
        <v>14</v>
      </c>
      <c r="C63" t="n">
        <v>8</v>
      </c>
      <c r="D63" t="n">
        <v>8</v>
      </c>
    </row>
    <row r="64">
      <c r="A64" t="inlineStr">
        <is>
          <t>2026-06-19</t>
        </is>
      </c>
      <c r="B64" t="n">
        <v>14</v>
      </c>
      <c r="C64" t="n">
        <v>8</v>
      </c>
      <c r="D64" t="n">
        <v>8</v>
      </c>
    </row>
    <row r="65">
      <c r="A65" t="inlineStr">
        <is>
          <t>2026-06-20</t>
        </is>
      </c>
      <c r="B65" t="n">
        <v>14</v>
      </c>
      <c r="C65" t="n">
        <v>8</v>
      </c>
      <c r="D65" t="n">
        <v>8</v>
      </c>
    </row>
    <row r="66">
      <c r="A66" t="inlineStr">
        <is>
          <t>2026-06-21</t>
        </is>
      </c>
      <c r="B66" t="n">
        <v>14</v>
      </c>
      <c r="C66" t="n">
        <v>8</v>
      </c>
      <c r="D66" t="n">
        <v>8</v>
      </c>
    </row>
    <row r="67">
      <c r="A67" t="inlineStr">
        <is>
          <t>2026-06-22</t>
        </is>
      </c>
      <c r="B67" t="n">
        <v>14</v>
      </c>
      <c r="C67" t="n">
        <v>8</v>
      </c>
      <c r="D67" t="n">
        <v>8</v>
      </c>
    </row>
    <row r="68">
      <c r="A68" t="inlineStr">
        <is>
          <t>2026-06-23</t>
        </is>
      </c>
      <c r="B68" t="n">
        <v>14</v>
      </c>
      <c r="C68" t="n">
        <v>8</v>
      </c>
      <c r="D68" t="n">
        <v>8</v>
      </c>
    </row>
    <row r="69">
      <c r="A69" t="inlineStr">
        <is>
          <t>2026-06-24</t>
        </is>
      </c>
      <c r="B69" t="n">
        <v>14</v>
      </c>
      <c r="C69" t="n">
        <v>8</v>
      </c>
      <c r="D69" t="n">
        <v>8</v>
      </c>
    </row>
    <row r="70">
      <c r="A70" t="inlineStr">
        <is>
          <t>2026-06-25</t>
        </is>
      </c>
      <c r="B70" t="n">
        <v>14</v>
      </c>
      <c r="C70" t="n">
        <v>8</v>
      </c>
      <c r="D70" t="n">
        <v>8</v>
      </c>
    </row>
    <row r="71">
      <c r="A71" t="inlineStr">
        <is>
          <t>2026-06-26</t>
        </is>
      </c>
      <c r="B71" t="n">
        <v>14</v>
      </c>
      <c r="C71" t="n">
        <v>8</v>
      </c>
      <c r="D71" t="n">
        <v>8</v>
      </c>
    </row>
    <row r="72">
      <c r="A72" t="inlineStr">
        <is>
          <t>2026-06-27</t>
        </is>
      </c>
      <c r="B72" t="n">
        <v>14</v>
      </c>
      <c r="C72" t="n">
        <v>8</v>
      </c>
      <c r="D72" t="n">
        <v>8</v>
      </c>
    </row>
    <row r="73">
      <c r="A73" t="inlineStr">
        <is>
          <t>2026-06-28</t>
        </is>
      </c>
      <c r="B73" t="n">
        <v>14</v>
      </c>
      <c r="C73" t="n">
        <v>8</v>
      </c>
      <c r="D73" t="n">
        <v>8</v>
      </c>
    </row>
    <row r="74">
      <c r="A74" t="inlineStr">
        <is>
          <t>2026-06-29</t>
        </is>
      </c>
      <c r="B74" t="n">
        <v>14</v>
      </c>
      <c r="C74" t="n">
        <v>8</v>
      </c>
      <c r="D74" t="n">
        <v>8</v>
      </c>
    </row>
    <row r="75">
      <c r="A75" t="inlineStr">
        <is>
          <t>2026-06-30</t>
        </is>
      </c>
      <c r="B75" t="n">
        <v>14</v>
      </c>
      <c r="C75" t="n">
        <v>8</v>
      </c>
      <c r="D75" t="n">
        <v>8</v>
      </c>
    </row>
    <row r="76">
      <c r="A76" t="inlineStr">
        <is>
          <t>2026-07-01</t>
        </is>
      </c>
      <c r="B76" t="n">
        <v>16</v>
      </c>
      <c r="C76" t="n">
        <v>11</v>
      </c>
      <c r="D76" t="n">
        <v>11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2026-07-01T08:17:45Z</dcterms:created>
  <dcterms:modified xsi:type="dcterms:W3CDTF">2026-07-01T08:17:45Z</dcterms:modified>
</cp:coreProperties>
</file>