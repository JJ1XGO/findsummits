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課題一覧" sheetId="1" state="visible" r:id="rId1"/>
    <sheet name="サマリー" sheetId="2" state="visible" r:id="rId2"/>
    <sheet name="収束グラフ"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color rgb="00FFFFFF"/>
      <sz val="10"/>
    </font>
    <font>
      <name val="Arial"/>
      <sz val="9"/>
    </font>
    <font>
      <name val="Arial"/>
      <b val="1"/>
      <sz val="9"/>
    </font>
  </fonts>
  <fills count="10">
    <fill>
      <patternFill/>
    </fill>
    <fill>
      <patternFill patternType="gray125"/>
    </fill>
    <fill>
      <patternFill patternType="solid">
        <fgColor rgb="001F4E79"/>
      </patternFill>
    </fill>
    <fill>
      <patternFill patternType="solid">
        <fgColor rgb="00EBF3FB"/>
      </patternFill>
    </fill>
    <fill>
      <patternFill patternType="solid">
        <fgColor rgb="00FFE0E0"/>
      </patternFill>
    </fill>
    <fill>
      <patternFill patternType="solid">
        <fgColor rgb="00FFFFFF"/>
      </patternFill>
    </fill>
    <fill>
      <patternFill patternType="solid">
        <fgColor rgb="00FFFBE0"/>
      </patternFill>
    </fill>
    <fill>
      <patternFill patternType="solid">
        <fgColor rgb="00E8F5E9"/>
      </patternFill>
    </fill>
    <fill>
      <patternFill patternType="solid">
        <fgColor rgb="002E5D9E"/>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1" fillId="8" borderId="1" applyAlignment="1" pivotButton="0" quotePrefix="0" xfId="0">
      <alignment horizontal="left" vertical="center"/>
    </xf>
    <xf numFmtId="0" fontId="0" fillId="8" borderId="1" pivotButton="0" quotePrefix="0" xfId="0"/>
    <xf numFmtId="0" fontId="3" fillId="9" borderId="1" applyAlignment="1" pivotButton="0" quotePrefix="0" xfId="0">
      <alignment horizontal="left" vertical="center"/>
    </xf>
    <xf numFmtId="0" fontId="2" fillId="5"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課題収束曲線</a:t>
            </a:r>
          </a:p>
        </rich>
      </tx>
    </title>
    <plotArea>
      <scatterChart>
        <ser>
          <idx val="0"/>
          <order val="0"/>
          <tx>
            <v>課題累計</v>
          </tx>
          <spPr>
            <a:ln w="20000">
              <a:solidFill>
                <a:srgbClr val="FF0000"/>
              </a:solidFill>
              <a:prstDash val="solid"/>
            </a:ln>
          </spPr>
          <marker>
            <symbol val="circle"/>
            <size val="5"/>
            <spPr>
              <a:ln>
                <a:prstDash val="solid"/>
              </a:ln>
            </spPr>
          </marker>
          <xVal>
            <numRef>
              <f>'収束グラフ'!$A$2</f>
            </numRef>
          </xVal>
          <yVal>
            <numRef>
              <f>'収束グラフ'!$B$2</f>
            </numRef>
          </yVal>
        </ser>
        <ser>
          <idx val="1"/>
          <order val="1"/>
          <tx>
            <v>対応累計</v>
          </tx>
          <spPr>
            <a:ln w="20000">
              <a:solidFill>
                <a:srgbClr val="4472C4"/>
              </a:solidFill>
              <a:prstDash val="solid"/>
            </a:ln>
          </spPr>
          <marker>
            <symbol val="circle"/>
            <size val="5"/>
            <spPr>
              <a:ln>
                <a:prstDash val="solid"/>
              </a:ln>
            </spPr>
          </marker>
          <xVal>
            <numRef>
              <f>'収束グラフ'!$A$2</f>
            </numRef>
          </xVal>
          <yVal>
            <numRef>
              <f>'収束グラフ'!$C$2</f>
            </numRef>
          </yVal>
        </ser>
        <ser>
          <idx val="2"/>
          <order val="2"/>
          <tx>
            <v>確認累計</v>
          </tx>
          <spPr>
            <a:ln w="20000">
              <a:solidFill>
                <a:srgbClr val="70AD47"/>
              </a:solidFill>
              <a:prstDash val="solid"/>
            </a:ln>
          </spPr>
          <marker>
            <symbol val="circle"/>
            <size val="5"/>
            <spPr>
              <a:ln>
                <a:prstDash val="solid"/>
              </a:ln>
            </spPr>
          </marker>
          <xVal>
            <numRef>
              <f>'収束グラフ'!$A$2</f>
            </numRef>
          </xVal>
          <yVal>
            <numRef>
              <f>'収束グラフ'!$D$2</f>
            </numRef>
          </yVal>
        </ser>
        <axId val="10"/>
        <axId val="20"/>
      </scatterChart>
      <valAx>
        <axId val="10"/>
        <scaling>
          <orientation val="minMax"/>
          <max val="46139"/>
          <min val="46139"/>
        </scaling>
        <axPos val="l"/>
        <majorGridlines/>
        <title>
          <tx>
            <rich>
              <a:bodyPr/>
              <a:p>
                <a:pPr>
                  <a:defRPr/>
                </a:pPr>
                <a:r>
                  <a:t>日付</a:t>
                </a:r>
              </a:p>
            </rich>
          </tx>
        </title>
        <numFmt formatCode="YYYY-MM-DD" sourceLinked="0"/>
        <majorTickMark val="none"/>
        <minorTickMark val="none"/>
        <crossAx val="20"/>
      </valAx>
      <valAx>
        <axId val="20"/>
        <scaling>
          <orientation val="minMax"/>
          <min val="0"/>
        </scaling>
        <axPos val="l"/>
        <majorGridlines/>
        <title>
          <tx>
            <rich>
              <a:bodyPr/>
              <a:p>
                <a:pPr>
                  <a:defRPr/>
                </a:pPr>
                <a:r>
                  <a:t>累計数</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44" customWidth="1" min="3" max="3"/>
    <col width="12" customWidth="1" min="4" max="4"/>
    <col width="10" customWidth="1" min="5" max="5"/>
    <col width="16" customWidth="1" min="6" max="6"/>
    <col width="14" customWidth="1" min="7" max="7"/>
    <col width="14" customWidth="1" min="8" max="8"/>
    <col width="16" customWidth="1" min="9" max="9"/>
    <col width="12" customWidth="1" min="10" max="10"/>
    <col width="14" customWidth="1" min="11" max="11"/>
    <col width="30" customWidth="1" min="12" max="12"/>
    <col width="30" customWidth="1" min="13" max="13"/>
    <col width="14" customWidth="1" min="14" max="14"/>
    <col width="14" customWidth="1" min="15" max="15"/>
  </cols>
  <sheetData>
    <row r="1" ht="28" customHeight="1">
      <c r="A1" s="1" t="inlineStr">
        <is>
          <t>ID</t>
        </is>
      </c>
      <c r="B1" s="1" t="inlineStr">
        <is>
          <t>タイトル</t>
        </is>
      </c>
      <c r="C1" s="1" t="inlineStr">
        <is>
          <t>説明</t>
        </is>
      </c>
      <c r="D1" s="1" t="inlineStr">
        <is>
          <t>種別</t>
        </is>
      </c>
      <c r="E1" s="1" t="inlineStr">
        <is>
          <t>優先度</t>
        </is>
      </c>
      <c r="F1" s="1" t="inlineStr">
        <is>
          <t>カテゴリ</t>
        </is>
      </c>
      <c r="G1" s="1" t="inlineStr">
        <is>
          <t>報告者</t>
        </is>
      </c>
      <c r="H1" s="1" t="inlineStr">
        <is>
          <t>作成日</t>
        </is>
      </c>
      <c r="I1" s="1" t="inlineStr">
        <is>
          <t>発生ステージ</t>
        </is>
      </c>
      <c r="J1" s="1" t="inlineStr">
        <is>
          <t>ステータス</t>
        </is>
      </c>
      <c r="K1" s="1" t="inlineStr">
        <is>
          <t>担当者</t>
        </is>
      </c>
      <c r="L1" s="1" t="inlineStr">
        <is>
          <t>対応方針</t>
        </is>
      </c>
      <c r="M1" s="1" t="inlineStr">
        <is>
          <t>備考</t>
        </is>
      </c>
      <c r="N1" s="1" t="inlineStr">
        <is>
          <t>対応完了日</t>
        </is>
      </c>
      <c r="O1" s="1" t="inlineStr">
        <is>
          <t>解決確認日</t>
        </is>
      </c>
    </row>
    <row r="2" ht="40" customHeight="1">
      <c r="A2" s="2" t="inlineStr">
        <is>
          <t>ISSUE-001</t>
        </is>
      </c>
      <c r="B2" s="2" t="inlineStr">
        <is>
          <t>フルパイプ検証 ステップ3（merge.py 実行）</t>
        </is>
      </c>
      <c r="C2" s="2" t="inlineStr">
        <is>
          <t>9メッシュ（params/mesh_5339_neighbors.txt）を対象に merge.py を実行し、CSV統合・SOTA突合・bboxフィルタを検証する。matched/new/deleted の件数と unstable の割合を目視確認。tolerance_px の調整値もここで決定する。</t>
        </is>
      </c>
      <c r="D2" s="2" t="inlineStr">
        <is>
          <t>調査</t>
        </is>
      </c>
      <c r="E2" s="3" t="inlineStr">
        <is>
          <t>高</t>
        </is>
      </c>
      <c r="F2" s="2" t="inlineStr">
        <is>
          <t>merge.py</t>
        </is>
      </c>
      <c r="G2" s="2" t="inlineStr">
        <is>
          <t>JJ1XGO</t>
        </is>
      </c>
      <c r="H2" s="2" t="inlineStr">
        <is>
          <t>2026-04-27</t>
        </is>
      </c>
      <c r="I2" s="2" t="inlineStr">
        <is>
          <t>IT</t>
        </is>
      </c>
      <c r="J2" s="2" t="inlineStr">
        <is>
          <t>未対応</t>
        </is>
      </c>
      <c r="K2" s="2" t="inlineStr">
        <is>
          <t>JJ1XGO</t>
        </is>
      </c>
      <c r="L2" s="2" t="inlineStr">
        <is>
          <t>python3 scripts/merge.py --mesh-list params/mesh_5339_neighbors.txt を実行して結果確認</t>
        </is>
      </c>
      <c r="M2" s="2" t="inlineStr">
        <is>
          <t>ステップ1（prefetch）・ステップ2（findsummits 9メッシュ解析）は完了済み</t>
        </is>
      </c>
      <c r="N2" s="2" t="inlineStr"/>
      <c r="O2" s="2" t="inlineStr"/>
    </row>
    <row r="3" ht="40" customHeight="1">
      <c r="A3" s="4" t="inlineStr">
        <is>
          <t>ISSUE-002</t>
        </is>
      </c>
      <c r="B3" s="4" t="inlineStr">
        <is>
          <t>match_status 判定の merge.py 本実装</t>
        </is>
      </c>
      <c r="C3" s="4" t="inlineStr">
        <is>
          <t>現行の merge.py には match_status（NEW/MATCH/MOVED/ELEV_CHANGE/DELETED）の本実装が未完了。突合しきい値: 距離 ≤ 150m かつ標高差 &lt; 20m で同一サミットとみなす。DELETED は mesh_bbox() によるbbox内サミットのみ対象。</t>
        </is>
      </c>
      <c r="D3" s="4" t="inlineStr">
        <is>
          <t>機能追加</t>
        </is>
      </c>
      <c r="E3" s="3" t="inlineStr">
        <is>
          <t>高</t>
        </is>
      </c>
      <c r="F3" s="4" t="inlineStr">
        <is>
          <t>merge.py</t>
        </is>
      </c>
      <c r="G3" s="4" t="inlineStr">
        <is>
          <t>JJ1XGO</t>
        </is>
      </c>
      <c r="H3" s="4" t="inlineStr">
        <is>
          <t>2026-04-27</t>
        </is>
      </c>
      <c r="I3" s="4" t="inlineStr">
        <is>
          <t>COD</t>
        </is>
      </c>
      <c r="J3" s="4" t="inlineStr">
        <is>
          <t>未対応</t>
        </is>
      </c>
      <c r="K3" s="4" t="inlineStr">
        <is>
          <t>JJ1XGO</t>
        </is>
      </c>
      <c r="L3" s="4" t="inlineStr"/>
      <c r="M3" s="4" t="inlineStr">
        <is>
          <t>ISSUE-001（ステップ3検証）の後に着手。突合列: match_status, summit_code, summit_name, peak_lat, peak_lon, peak_elev, col_lat, col_lon, col_elev, prominence, orig_lat, orig_lon, orig_elev</t>
        </is>
      </c>
      <c r="N3" s="4" t="inlineStr"/>
      <c r="O3" s="4" t="inlineStr"/>
    </row>
    <row r="4" ht="40" customHeight="1">
      <c r="A4" s="2" t="inlineStr">
        <is>
          <t>ISSUE-003</t>
        </is>
      </c>
      <c r="B4" s="2" t="inlineStr">
        <is>
          <t>output_xlsx.py 新規作成（申請用XLSX生成）</t>
        </is>
      </c>
      <c r="C4" s="2" t="inlineStr">
        <is>
          <t>openpyxl で SOTA申請用 XLSX を生成するスクリプト。新規シート(NEW)・変更シート(MOVED/ELEV_CHANGE)・削除シート(DELETED)・変更なしシート(MATCH)の4シート構成。prominence &lt; 150m の行は黄色ハイライト。</t>
        </is>
      </c>
      <c r="D4" s="2" t="inlineStr">
        <is>
          <t>機能追加</t>
        </is>
      </c>
      <c r="E4" s="3" t="inlineStr">
        <is>
          <t>高</t>
        </is>
      </c>
      <c r="F4" s="2" t="inlineStr">
        <is>
          <t>その他</t>
        </is>
      </c>
      <c r="G4" s="2" t="inlineStr">
        <is>
          <t>JJ1XGO</t>
        </is>
      </c>
      <c r="H4" s="2" t="inlineStr">
        <is>
          <t>2026-04-27</t>
        </is>
      </c>
      <c r="I4" s="2" t="inlineStr">
        <is>
          <t>COD</t>
        </is>
      </c>
      <c r="J4" s="2" t="inlineStr">
        <is>
          <t>未対応</t>
        </is>
      </c>
      <c r="K4" s="2" t="inlineStr">
        <is>
          <t>JJ1XGO</t>
        </is>
      </c>
      <c r="L4" s="2" t="inlineStr"/>
      <c r="M4" s="2" t="inlineStr">
        <is>
          <t>着手前に plan.md の Ph.2〜Ph.5 設計と現在のアーキテクチャの整合を確認すること。ref/SOTA-Summit-list-revision-request.xlsx の列定義を事前確認。</t>
        </is>
      </c>
      <c r="N4" s="2" t="inlineStr"/>
      <c r="O4" s="2" t="inlineStr"/>
    </row>
    <row r="5" ht="40" customHeight="1">
      <c r="A5" s="4" t="inlineStr">
        <is>
          <t>ISSUE-004</t>
        </is>
      </c>
      <c r="B5" s="4" t="inlineStr">
        <is>
          <t>output_geojson.py 新規作成（GeoJSON生成）</t>
        </is>
      </c>
      <c r="C5" s="4" t="inlineStr">
        <is>
          <t>地理院地図での目視確認用 GeoJSON を生成するスクリプト。Summit/Peak/Col ごとに Point Feature を生成。match_status 別アイコン/色（NEW=マゼンタ, MOVED=オレンジ, ELEV_CHANGE=水色, DELETED=グレー, MATCH=スコア色）。Summit→Peak, Peak→Col の LineString も追加。</t>
        </is>
      </c>
      <c r="D5" s="4" t="inlineStr">
        <is>
          <t>機能追加</t>
        </is>
      </c>
      <c r="E5" s="5" t="inlineStr">
        <is>
          <t>中</t>
        </is>
      </c>
      <c r="F5" s="4" t="inlineStr">
        <is>
          <t>GeoJSON出力</t>
        </is>
      </c>
      <c r="G5" s="4" t="inlineStr">
        <is>
          <t>JJ1XGO</t>
        </is>
      </c>
      <c r="H5" s="4" t="inlineStr">
        <is>
          <t>2026-04-27</t>
        </is>
      </c>
      <c r="I5" s="4" t="inlineStr">
        <is>
          <t>COD</t>
        </is>
      </c>
      <c r="J5" s="4" t="inlineStr">
        <is>
          <t>未対応</t>
        </is>
      </c>
      <c r="K5" s="4" t="inlineStr">
        <is>
          <t>JJ1XGO</t>
        </is>
      </c>
      <c r="L5" s="4" t="inlineStr"/>
      <c r="M5" s="4" t="inlineStr">
        <is>
          <t>SOTA スコア別色（MATCHのみ）: 10点=赤, 8点=黄, 6点=緑, 4点=シアン, 2点=青, 1点=紫</t>
        </is>
      </c>
      <c r="N5" s="4" t="inlineStr"/>
      <c r="O5" s="4" t="inlineStr"/>
    </row>
    <row r="6" ht="40" customHeight="1">
      <c r="A6" s="2" t="inlineStr">
        <is>
          <t>ISSUE-005</t>
        </is>
      </c>
      <c r="B6" s="2" t="inlineStr">
        <is>
          <t>九州・四国メッシュでの統合テスト</t>
        </is>
      </c>
      <c r="C6" s="2" t="inlineStr">
        <is>
          <t>フルパイプ検証（9メッシュ）が通った後、九州・四国メッシュで end-to-end テストを実施。findsummits4sotaja の過去結果（sotaJA_SummitPeakCol_All5.xlsx）と比較。許容差: ピーク座標 ±100m、標高 ±5m、プロミネンス ±20m。</t>
        </is>
      </c>
      <c r="D6" s="2" t="inlineStr">
        <is>
          <t>調査</t>
        </is>
      </c>
      <c r="E6" s="5" t="inlineStr">
        <is>
          <t>中</t>
        </is>
      </c>
      <c r="F6" s="2" t="inlineStr">
        <is>
          <t>解析エンジン</t>
        </is>
      </c>
      <c r="G6" s="2" t="inlineStr">
        <is>
          <t>JJ1XGO</t>
        </is>
      </c>
      <c r="H6" s="2" t="inlineStr">
        <is>
          <t>2026-04-27</t>
        </is>
      </c>
      <c r="I6" s="2" t="inlineStr">
        <is>
          <t>ST</t>
        </is>
      </c>
      <c r="J6" s="2" t="inlineStr">
        <is>
          <t>未対応</t>
        </is>
      </c>
      <c r="K6" s="2" t="inlineStr">
        <is>
          <t>JJ1XGO</t>
        </is>
      </c>
      <c r="L6" s="2" t="inlineStr"/>
      <c r="M6" s="2" t="inlineStr">
        <is>
          <t>複数メッシュ境界付近の既知の山が GeoJSON で正しく1件表示されることも確認。DEM5なしメッシュの DEM10 フォールバック結果の妥当性も確認。</t>
        </is>
      </c>
      <c r="N6" s="2" t="inlineStr"/>
      <c r="O6" s="2" t="inlineStr"/>
    </row>
    <row r="7" ht="40" customHeight="1">
      <c r="A7" s="4" t="inlineStr">
        <is>
          <t>ISSUE-006</t>
        </is>
      </c>
      <c r="B7" s="4" t="inlineStr">
        <is>
          <t>tolerance_px の調整（ステップ3結果を見て決定）</t>
        </is>
      </c>
      <c r="C7" s="4" t="inlineStr">
        <is>
          <t>現在 tolerance_px=0（完全一致）。ISSUE-001 のステップ3結果を確認してから適切な値を決定する。設定は fetch_config.ini で管理。</t>
        </is>
      </c>
      <c r="D7" s="4" t="inlineStr">
        <is>
          <t>改善</t>
        </is>
      </c>
      <c r="E7" s="5" t="inlineStr">
        <is>
          <t>中</t>
        </is>
      </c>
      <c r="F7" s="4" t="inlineStr">
        <is>
          <t>merge.py</t>
        </is>
      </c>
      <c r="G7" s="4" t="inlineStr">
        <is>
          <t>JJ1XGO</t>
        </is>
      </c>
      <c r="H7" s="4" t="inlineStr">
        <is>
          <t>2026-04-27</t>
        </is>
      </c>
      <c r="I7" s="4" t="inlineStr">
        <is>
          <t>IT</t>
        </is>
      </c>
      <c r="J7" s="4" t="inlineStr">
        <is>
          <t>未対応</t>
        </is>
      </c>
      <c r="K7" s="4" t="inlineStr">
        <is>
          <t>JJ1XGO</t>
        </is>
      </c>
      <c r="L7" s="4" t="inlineStr"/>
      <c r="M7" s="4" t="inlineStr">
        <is>
          <t>ISSUE-001 完了後に着手</t>
        </is>
      </c>
      <c r="N7" s="4" t="inlineStr"/>
      <c r="O7" s="4" t="inlineStr"/>
    </row>
    <row r="8" ht="40" customHeight="1">
      <c r="A8" s="2" t="inlineStr">
        <is>
          <t>ISSUE-007</t>
        </is>
      </c>
      <c r="B8" s="2" t="inlineStr">
        <is>
          <t>run_all.sh の仕様確認・修正</t>
        </is>
      </c>
      <c r="C8" s="2" t="inlineStr">
        <is>
          <t>scripts/run_all.sh の仕様確認と必要に応じた修正。フルパイプ検証（9メッシュ）が通ってから実施する。</t>
        </is>
      </c>
      <c r="D8" s="2" t="inlineStr">
        <is>
          <t>改善</t>
        </is>
      </c>
      <c r="E8" s="6" t="inlineStr">
        <is>
          <t>低</t>
        </is>
      </c>
      <c r="F8" s="2" t="inlineStr">
        <is>
          <t>その他</t>
        </is>
      </c>
      <c r="G8" s="2" t="inlineStr">
        <is>
          <t>JJ1XGO</t>
        </is>
      </c>
      <c r="H8" s="2" t="inlineStr">
        <is>
          <t>2026-04-27</t>
        </is>
      </c>
      <c r="I8" s="2" t="inlineStr">
        <is>
          <t>OPS</t>
        </is>
      </c>
      <c r="J8" s="2" t="inlineStr">
        <is>
          <t>未対応</t>
        </is>
      </c>
      <c r="K8" s="2" t="inlineStr">
        <is>
          <t>JJ1XGO</t>
        </is>
      </c>
      <c r="L8" s="2" t="inlineStr"/>
      <c r="M8" s="2" t="inlineStr">
        <is>
          <t>フルパイプ検証前に仕様を詰めても実行時の問題で仕様変更になりやすいため後回し</t>
        </is>
      </c>
      <c r="N8" s="2" t="inlineStr"/>
      <c r="O8" s="2" t="inlineStr"/>
    </row>
    <row r="9" ht="40" customHeight="1">
      <c r="A9" s="4" t="inlineStr">
        <is>
          <t>ISSUE-008</t>
        </is>
      </c>
      <c r="B9" s="4" t="inlineStr">
        <is>
          <t>申請用出力フェーズ着手前の設計確認（plan_v1.md との整合確認）</t>
        </is>
      </c>
      <c r="C9" s="4" t="inlineStr">
        <is>
          <t>plan_v1.md の Ph.2〜Ph.5 設計（別スクリプト構成）が現在のアーキテクチャ（merge.py 統合・output_xlsx.py / output_geojson.py 分離構成）に合っているかを確認・整合させる。ISSUE-003（output_xlsx.py）・ISSUE-004（output_geojson.py）の前提条件であり、着手前に必ず実施する。</t>
        </is>
      </c>
      <c r="D9" s="4" t="inlineStr">
        <is>
          <t>設計</t>
        </is>
      </c>
      <c r="E9" s="3" t="inlineStr">
        <is>
          <t>高</t>
        </is>
      </c>
      <c r="F9" s="4" t="inlineStr">
        <is>
          <t>その他</t>
        </is>
      </c>
      <c r="G9" s="4" t="inlineStr">
        <is>
          <t>JJ1XGO</t>
        </is>
      </c>
      <c r="H9" s="4" t="inlineStr">
        <is>
          <t>2026-04-27</t>
        </is>
      </c>
      <c r="I9" s="4" t="inlineStr">
        <is>
          <t>HLD</t>
        </is>
      </c>
      <c r="J9" s="4" t="inlineStr">
        <is>
          <t>未対応</t>
        </is>
      </c>
      <c r="K9" s="4" t="inlineStr">
        <is>
          <t>JJ1XGO</t>
        </is>
      </c>
      <c r="L9" s="4" t="inlineStr"/>
      <c r="M9" s="4" t="inlineStr">
        <is>
          <t>plan_v1.md: .claude/mgmt/plan_v1.md</t>
        </is>
      </c>
      <c r="N9" s="4" t="inlineStr"/>
      <c r="O9" s="4" t="inlineStr"/>
    </row>
    <row r="10" ht="40" customHeight="1">
      <c r="A10" s="2" t="inlineStr">
        <is>
          <t>ISSUE-009</t>
        </is>
      </c>
      <c r="B10" s="2" t="inlineStr">
        <is>
          <t>新規サミット仮コードへの地域コード自動付与</t>
        </is>
      </c>
      <c r="C10" s="2" t="inlineStr">
        <is>
          <t>現在は仮コードが ZZ/ZZ-001 形式の連番。座標から都道府県を判定し、SOTA JA のアソシエーション/リージョンコード（北海道・本州・四国・九州）を仮コードに反映できるか実装を検討する。</t>
        </is>
      </c>
      <c r="D10" s="2" t="inlineStr">
        <is>
          <t>機能追加</t>
        </is>
      </c>
      <c r="E10" s="6" t="inlineStr">
        <is>
          <t>低</t>
        </is>
      </c>
      <c r="F10" s="2" t="inlineStr">
        <is>
          <t>merge.py</t>
        </is>
      </c>
      <c r="G10" s="2" t="inlineStr">
        <is>
          <t>JJ1XGO</t>
        </is>
      </c>
      <c r="H10" s="2" t="inlineStr">
        <is>
          <t>2026-04-27</t>
        </is>
      </c>
      <c r="I10" s="2" t="inlineStr">
        <is>
          <t>HLD</t>
        </is>
      </c>
      <c r="J10" s="2" t="inlineStr">
        <is>
          <t>未対応</t>
        </is>
      </c>
      <c r="K10" s="2" t="inlineStr">
        <is>
          <t>JJ1XGO</t>
        </is>
      </c>
      <c r="L10" s="2" t="inlineStr"/>
      <c r="M10" s="2" t="inlineStr">
        <is>
          <t>将来実装候補。フルパイプ検証・申請用出力フェーズ完了後に検討。</t>
        </is>
      </c>
      <c r="N10" s="2" t="inlineStr"/>
      <c r="O10" s="2" t="inlineStr"/>
    </row>
  </sheetData>
  <dataValidations count="4">
    <dataValidation sqref="J2:J10" showDropDown="0" showInputMessage="0" showErrorMessage="0" allowBlank="1" type="list">
      <formula1>"未対応,対応中,対応完了,解決済,却下"</formula1>
    </dataValidation>
    <dataValidation sqref="E2:E10" showDropDown="0" showInputMessage="0" showErrorMessage="0" allowBlank="1" type="list">
      <formula1>"高,中,低"</formula1>
    </dataValidation>
    <dataValidation sqref="D2:D10" showDropDown="0" showInputMessage="0" showErrorMessage="0" allowBlank="1" type="list">
      <formula1>"機能追加,改善,調査,設計"</formula1>
    </dataValidation>
    <dataValidation sqref="I2:I10" showDropDown="0" showInputMessage="0" showErrorMessage="0" allowBlank="1" type="list">
      <formula1>"URD,SRS,HLD,LLD,COD,UT,IT,ST,OPS"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2" customWidth="1" min="1" max="1"/>
    <col width="12" customWidth="1" min="2" max="2"/>
  </cols>
  <sheetData>
    <row r="1">
      <c r="A1" s="7" t="inlineStr">
        <is>
          <t>KPI</t>
        </is>
      </c>
      <c r="B1" s="8" t="n"/>
    </row>
    <row r="2">
      <c r="A2" s="9" t="inlineStr">
        <is>
          <t>合計件数</t>
        </is>
      </c>
      <c r="B2" s="10" t="n">
        <v>9</v>
      </c>
    </row>
    <row r="3">
      <c r="A3" s="9" t="inlineStr">
        <is>
          <t>未解決件数</t>
        </is>
      </c>
      <c r="B3" s="10" t="n">
        <v>9</v>
      </c>
    </row>
    <row r="4">
      <c r="A4" s="9" t="inlineStr">
        <is>
          <t>解決済件数</t>
        </is>
      </c>
      <c r="B4" s="10" t="n">
        <v>0</v>
      </c>
    </row>
    <row r="5">
      <c r="A5" s="9" t="inlineStr">
        <is>
          <t>解決率</t>
        </is>
      </c>
      <c r="B5" s="10" t="inlineStr">
        <is>
          <t>0.0%</t>
        </is>
      </c>
    </row>
    <row r="7">
      <c r="A7" s="7" t="inlineStr">
        <is>
          <t>ステータス別</t>
        </is>
      </c>
      <c r="B7" s="8" t="n"/>
    </row>
    <row r="8">
      <c r="A8" s="9" t="inlineStr">
        <is>
          <t>未対応</t>
        </is>
      </c>
      <c r="B8" s="10" t="n">
        <v>9</v>
      </c>
    </row>
    <row r="9">
      <c r="A9" s="9" t="inlineStr">
        <is>
          <t>対応中</t>
        </is>
      </c>
      <c r="B9" s="10" t="n">
        <v>0</v>
      </c>
    </row>
    <row r="10">
      <c r="A10" s="9" t="inlineStr">
        <is>
          <t>対応完了</t>
        </is>
      </c>
      <c r="B10" s="10" t="n">
        <v>0</v>
      </c>
    </row>
    <row r="11">
      <c r="A11" s="9" t="inlineStr">
        <is>
          <t>解決済</t>
        </is>
      </c>
      <c r="B11" s="10" t="n">
        <v>0</v>
      </c>
    </row>
    <row r="12">
      <c r="A12" s="9" t="inlineStr">
        <is>
          <t>却下</t>
        </is>
      </c>
      <c r="B12" s="10" t="n">
        <v>0</v>
      </c>
    </row>
    <row r="14">
      <c r="A14" s="7" t="inlineStr">
        <is>
          <t>優先度別（未解決）</t>
        </is>
      </c>
      <c r="B14" s="8" t="n"/>
    </row>
    <row r="15">
      <c r="A15" s="9" t="inlineStr">
        <is>
          <t>高</t>
        </is>
      </c>
      <c r="B15" s="10" t="n">
        <v>4</v>
      </c>
    </row>
    <row r="16">
      <c r="A16" s="9" t="inlineStr">
        <is>
          <t>中</t>
        </is>
      </c>
      <c r="B16" s="10" t="n">
        <v>3</v>
      </c>
    </row>
    <row r="17">
      <c r="A17" s="9" t="inlineStr">
        <is>
          <t>低</t>
        </is>
      </c>
      <c r="B17" s="10" t="n">
        <v>2</v>
      </c>
    </row>
    <row r="19">
      <c r="A19" s="7" t="inlineStr">
        <is>
          <t>種別別（未解決）</t>
        </is>
      </c>
      <c r="B19" s="8" t="n"/>
    </row>
    <row r="20">
      <c r="A20" s="9" t="inlineStr">
        <is>
          <t>機能追加</t>
        </is>
      </c>
      <c r="B20" s="10" t="n">
        <v>4</v>
      </c>
    </row>
    <row r="21">
      <c r="A21" s="9" t="inlineStr">
        <is>
          <t>改善</t>
        </is>
      </c>
      <c r="B21" s="10" t="n">
        <v>2</v>
      </c>
    </row>
    <row r="22">
      <c r="A22" s="9" t="inlineStr">
        <is>
          <t>調査</t>
        </is>
      </c>
      <c r="B22" s="10" t="n">
        <v>2</v>
      </c>
    </row>
    <row r="23">
      <c r="A23" s="9" t="inlineStr">
        <is>
          <t>設計</t>
        </is>
      </c>
      <c r="B23" s="10" t="n">
        <v>1</v>
      </c>
    </row>
    <row r="25">
      <c r="A25" s="7" t="inlineStr">
        <is>
          <t>カテゴリ別（未解決）</t>
        </is>
      </c>
      <c r="B25" s="8" t="n"/>
    </row>
    <row r="26">
      <c r="A26" s="9" t="inlineStr">
        <is>
          <t>解析エンジン</t>
        </is>
      </c>
      <c r="B26" s="10" t="n">
        <v>1</v>
      </c>
    </row>
    <row r="27">
      <c r="A27" s="9" t="inlineStr">
        <is>
          <t>merge.py</t>
        </is>
      </c>
      <c r="B27" s="10" t="n">
        <v>4</v>
      </c>
    </row>
    <row r="28">
      <c r="A28" s="9" t="inlineStr">
        <is>
          <t>GeoJSON出力</t>
        </is>
      </c>
      <c r="B28" s="10" t="n">
        <v>1</v>
      </c>
    </row>
    <row r="29">
      <c r="A29" s="9" t="inlineStr">
        <is>
          <t>その他</t>
        </is>
      </c>
      <c r="B29" s="10" t="n">
        <v>3</v>
      </c>
    </row>
    <row r="31">
      <c r="A31" s="7" t="inlineStr">
        <is>
          <t>ステージ別（未解決）</t>
        </is>
      </c>
      <c r="B31" s="8" t="n"/>
    </row>
    <row r="32">
      <c r="A32" s="9" t="inlineStr">
        <is>
          <t>HLD</t>
        </is>
      </c>
      <c r="B32" s="10" t="n">
        <v>2</v>
      </c>
    </row>
    <row r="33">
      <c r="A33" s="9" t="inlineStr">
        <is>
          <t>COD</t>
        </is>
      </c>
      <c r="B33" s="10" t="n">
        <v>3</v>
      </c>
    </row>
    <row r="34">
      <c r="A34" s="9" t="inlineStr">
        <is>
          <t>IT</t>
        </is>
      </c>
      <c r="B34" s="10" t="n">
        <v>2</v>
      </c>
    </row>
    <row r="35">
      <c r="A35" s="9" t="inlineStr">
        <is>
          <t>ST</t>
        </is>
      </c>
      <c r="B35" s="10" t="n">
        <v>1</v>
      </c>
    </row>
    <row r="36">
      <c r="A36" s="9" t="inlineStr">
        <is>
          <t>OPS</t>
        </is>
      </c>
      <c r="B36" s="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s>
  <sheetData>
    <row r="1">
      <c r="A1" s="1" t="inlineStr">
        <is>
          <t>日付</t>
        </is>
      </c>
      <c r="B1" s="1" t="inlineStr">
        <is>
          <t>課題累計</t>
        </is>
      </c>
      <c r="C1" s="1" t="inlineStr">
        <is>
          <t>対応累計</t>
        </is>
      </c>
      <c r="D1" s="1" t="inlineStr">
        <is>
          <t>確認累計</t>
        </is>
      </c>
    </row>
    <row r="2">
      <c r="A2" s="11" t="n">
        <v>46139</v>
      </c>
      <c r="B2" t="n">
        <v>9</v>
      </c>
      <c r="C2" t="n">
        <v>0</v>
      </c>
      <c r="D2"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2026-04-27T10:28:42Z</dcterms:created>
  <dcterms:modified xsi:type="dcterms:W3CDTF">2026-04-27T10:28:42Z</dcterms:modified>
</cp:coreProperties>
</file>