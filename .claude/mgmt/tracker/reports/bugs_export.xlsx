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バグ一覧" sheetId="1" state="visible" r:id="rId1"/>
    <sheet name="サマリー" sheetId="2" state="visible" r:id="rId2"/>
    <sheet name="欠陥収束"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Arial"/>
      <b val="1"/>
      <color rgb="00FFFFFF"/>
      <sz val="10"/>
    </font>
    <font>
      <name val="Arial"/>
      <sz val="9"/>
    </font>
    <font>
      <name val="Arial"/>
      <b val="1"/>
      <sz val="9"/>
    </font>
  </fonts>
  <fills count="11">
    <fill>
      <patternFill/>
    </fill>
    <fill>
      <patternFill patternType="gray125"/>
    </fill>
    <fill>
      <patternFill patternType="solid">
        <fgColor rgb="001F4E79"/>
      </patternFill>
    </fill>
    <fill>
      <patternFill patternType="solid">
        <fgColor rgb="00EBF3FB"/>
      </patternFill>
    </fill>
    <fill>
      <patternFill patternType="solid">
        <fgColor rgb="00E8F5E9"/>
      </patternFill>
    </fill>
    <fill>
      <patternFill patternType="solid">
        <fgColor rgb="00FFFFFF"/>
      </patternFill>
    </fill>
    <fill>
      <patternFill patternType="solid">
        <fgColor rgb="00FFFBE0"/>
      </patternFill>
    </fill>
    <fill>
      <patternFill patternType="solid">
        <fgColor rgb="00F0F0F0"/>
      </patternFill>
    </fill>
    <fill>
      <patternFill patternType="solid">
        <fgColor rgb="00FFE0E0"/>
      </patternFill>
    </fill>
    <fill>
      <patternFill patternType="solid">
        <fgColor rgb="002E5D9E"/>
      </patternFill>
    </fill>
    <fill>
      <patternFill patternType="solid">
        <fgColor rgb="00F5F5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2"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 fillId="7" borderId="1" applyAlignment="1" pivotButton="0" quotePrefix="0" xfId="0">
      <alignment horizontal="left" vertical="center" wrapText="1"/>
    </xf>
    <xf numFmtId="0" fontId="3" fillId="8" borderId="1" applyAlignment="1" pivotButton="0" quotePrefix="0" xfId="0">
      <alignment horizontal="left" vertical="center" wrapText="1"/>
    </xf>
    <xf numFmtId="0" fontId="1" fillId="9" borderId="1" applyAlignment="1" pivotButton="0" quotePrefix="0" xfId="0">
      <alignment horizontal="left" vertical="center"/>
    </xf>
    <xf numFmtId="0" fontId="0" fillId="9" borderId="1" pivotButton="0" quotePrefix="0" xfId="0"/>
    <xf numFmtId="0" fontId="3" fillId="10" borderId="1" applyAlignment="1" pivotButton="0" quotePrefix="0" xfId="0">
      <alignment horizontal="left" vertical="center"/>
    </xf>
    <xf numFmtId="0" fontId="2" fillId="5"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0"/>
  <chart>
    <title>
      <tx>
        <rich>
          <a:bodyPr/>
          <a:p>
            <a:pPr>
              <a:defRPr/>
            </a:pPr>
            <a:r>
              <a:t>欠陥収束</a:t>
            </a:r>
          </a:p>
        </rich>
      </tx>
    </title>
    <plotArea>
      <scatterChart>
        <ser>
          <idx val="0"/>
          <order val="0"/>
          <tx>
            <v>累計登録</v>
          </tx>
          <spPr>
            <a:ln w="20000">
              <a:solidFill>
                <a:srgbClr val="FF0000"/>
              </a:solidFill>
              <a:prstDash val="solid"/>
            </a:ln>
          </spPr>
          <marker>
            <symbol val="circle"/>
            <size val="5"/>
            <spPr>
              <a:ln>
                <a:prstDash val="solid"/>
              </a:ln>
            </spPr>
          </marker>
          <xVal>
            <numRef>
              <f>'欠陥収束'!$A$2:$A$11</f>
            </numRef>
          </xVal>
          <yVal>
            <numRef>
              <f>'欠陥収束'!$B$2:$B$11</f>
            </numRef>
          </yVal>
        </ser>
        <ser>
          <idx val="1"/>
          <order val="1"/>
          <tx>
            <v>対応累計</v>
          </tx>
          <spPr>
            <a:ln w="20000">
              <a:solidFill>
                <a:srgbClr val="4472C4"/>
              </a:solidFill>
              <a:prstDash val="solid"/>
            </a:ln>
          </spPr>
          <marker>
            <symbol val="circle"/>
            <size val="5"/>
            <spPr>
              <a:ln>
                <a:prstDash val="solid"/>
              </a:ln>
            </spPr>
          </marker>
          <xVal>
            <numRef>
              <f>'欠陥収束'!$A$2:$A$11</f>
            </numRef>
          </xVal>
          <yVal>
            <numRef>
              <f>'欠陥収束'!$C$2:$C$11</f>
            </numRef>
          </yVal>
        </ser>
        <ser>
          <idx val="2"/>
          <order val="2"/>
          <tx>
            <v>確認累計</v>
          </tx>
          <spPr>
            <a:ln w="20000">
              <a:solidFill>
                <a:srgbClr val="70AD47"/>
              </a:solidFill>
              <a:prstDash val="solid"/>
            </a:ln>
          </spPr>
          <marker>
            <symbol val="circle"/>
            <size val="5"/>
            <spPr>
              <a:ln>
                <a:prstDash val="solid"/>
              </a:ln>
            </spPr>
          </marker>
          <xVal>
            <numRef>
              <f>'欠陥収束'!$A$2:$A$11</f>
            </numRef>
          </xVal>
          <yVal>
            <numRef>
              <f>'欠陥収束'!$D$2:$D$11</f>
            </numRef>
          </yVal>
        </ser>
        <axId val="10"/>
        <axId val="20"/>
      </scatterChart>
      <valAx>
        <axId val="10"/>
        <scaling>
          <orientation val="minMax"/>
          <max val="46139"/>
          <min val="46130"/>
        </scaling>
        <axPos val="l"/>
        <majorGridlines/>
        <title>
          <tx>
            <rich>
              <a:bodyPr/>
              <a:p>
                <a:pPr>
                  <a:defRPr/>
                </a:pPr>
                <a:r>
                  <a:t>日付</a:t>
                </a:r>
              </a:p>
            </rich>
          </tx>
        </title>
        <numFmt formatCode="YYYY-MM-DD" sourceLinked="0"/>
        <majorTickMark val="none"/>
        <minorTickMark val="none"/>
        <crossAx val="20"/>
      </valAx>
      <valAx>
        <axId val="20"/>
        <scaling>
          <orientation val="minMax"/>
          <min val="0"/>
        </scaling>
        <axPos val="l"/>
        <majorGridlines/>
        <title>
          <tx>
            <rich>
              <a:bodyPr/>
              <a:p>
                <a:pPr>
                  <a:defRPr/>
                </a:pPr>
                <a:r>
                  <a:t>累計数</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R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44" customWidth="1" min="3" max="3"/>
    <col width="14" customWidth="1" min="4" max="4"/>
    <col width="14" customWidth="1" min="5" max="5"/>
    <col width="16" customWidth="1" min="6" max="6"/>
    <col width="16" customWidth="1" min="7" max="7"/>
    <col width="20" customWidth="1" min="8" max="8"/>
    <col width="10" customWidth="1" min="9" max="9"/>
    <col width="10" customWidth="1" min="10" max="10"/>
    <col width="12" customWidth="1" min="11" max="11"/>
    <col width="14" customWidth="1" min="12" max="12"/>
    <col width="16" customWidth="1" min="13" max="13"/>
    <col width="20" customWidth="1" min="14" max="14"/>
    <col width="30" customWidth="1" min="15" max="15"/>
    <col width="30" customWidth="1" min="16" max="16"/>
    <col width="14" customWidth="1" min="17" max="17"/>
    <col width="14" customWidth="1" min="18" max="18"/>
  </cols>
  <sheetData>
    <row r="1" ht="28" customHeight="1">
      <c r="A1" s="1" t="inlineStr">
        <is>
          <t>ID</t>
        </is>
      </c>
      <c r="B1" s="1" t="inlineStr">
        <is>
          <t>タイトル</t>
        </is>
      </c>
      <c r="C1" s="1" t="inlineStr">
        <is>
          <t>説明</t>
        </is>
      </c>
      <c r="D1" s="1" t="inlineStr">
        <is>
          <t>報告者</t>
        </is>
      </c>
      <c r="E1" s="1" t="inlineStr">
        <is>
          <t>発見日</t>
        </is>
      </c>
      <c r="F1" s="1" t="inlineStr">
        <is>
          <t>発生ステージ</t>
        </is>
      </c>
      <c r="G1" s="1" t="inlineStr">
        <is>
          <t>カテゴリ</t>
        </is>
      </c>
      <c r="H1" s="1" t="inlineStr">
        <is>
          <t>発生プログラム</t>
        </is>
      </c>
      <c r="I1" s="1" t="inlineStr">
        <is>
          <t>再現性</t>
        </is>
      </c>
      <c r="J1" s="1" t="inlineStr">
        <is>
          <t>重大度</t>
        </is>
      </c>
      <c r="K1" s="1" t="inlineStr">
        <is>
          <t>ステータス</t>
        </is>
      </c>
      <c r="L1" s="1" t="inlineStr">
        <is>
          <t>担当者</t>
        </is>
      </c>
      <c r="M1" s="1" t="inlineStr">
        <is>
          <t>発生源ステージ</t>
        </is>
      </c>
      <c r="N1" s="1" t="inlineStr">
        <is>
          <t>原因プログラム</t>
        </is>
      </c>
      <c r="O1" s="1" t="inlineStr">
        <is>
          <t>対応方針</t>
        </is>
      </c>
      <c r="P1" s="1" t="inlineStr">
        <is>
          <t>備考</t>
        </is>
      </c>
      <c r="Q1" s="1" t="inlineStr">
        <is>
          <t>対応完了日</t>
        </is>
      </c>
      <c r="R1" s="1" t="inlineStr">
        <is>
          <t>解決確認日</t>
        </is>
      </c>
    </row>
    <row r="2" ht="40" customHeight="1">
      <c r="A2" s="2" t="inlineStr">
        <is>
          <t>BUG-001</t>
        </is>
      </c>
      <c r="B2" s="2" t="inlineStr">
        <is>
          <t>expected_count計算バグ（stability判定誤り）</t>
        </is>
      </c>
      <c r="C2" s="2" t="inlineStr">
        <is>
          <t>expected_count()が代表レコードのcenter_mesh（解析中心メッシュ）で計算するため、ピークの実在メッシュとcenter_meshがずれると値が狂う。結果としてanalysis_count &gt; expected_countのケースが216件発生。正しくはpeak_lat/peak_lonからピークの属するメッシュを特定して計算すべき。</t>
        </is>
      </c>
      <c r="D2" s="2" t="inlineStr">
        <is>
          <t>JJ1XGO</t>
        </is>
      </c>
      <c r="E2" s="2" t="inlineStr">
        <is>
          <t>2026-04-26</t>
        </is>
      </c>
      <c r="F2" s="2" t="inlineStr">
        <is>
          <t>IT</t>
        </is>
      </c>
      <c r="G2" s="2" t="inlineStr">
        <is>
          <t>merge.py</t>
        </is>
      </c>
      <c r="H2" s="2" t="inlineStr">
        <is>
          <t>scripts/merge.py</t>
        </is>
      </c>
      <c r="I2" s="2" t="inlineStr">
        <is>
          <t>毎回</t>
        </is>
      </c>
      <c r="J2" s="3" t="inlineStr">
        <is>
          <t>低</t>
        </is>
      </c>
      <c r="K2" s="2" t="inlineStr">
        <is>
          <t>未対応</t>
        </is>
      </c>
      <c r="L2" s="2" t="inlineStr">
        <is>
          <t>JJ1XGO</t>
        </is>
      </c>
      <c r="M2" s="2" t="inlineStr">
        <is>
          <t>COD</t>
        </is>
      </c>
      <c r="N2" s="2" t="inlineStr">
        <is>
          <t>scripts/merge.py</t>
        </is>
      </c>
      <c r="O2" s="2" t="inlineStr"/>
      <c r="P2" s="2" t="inlineStr">
        <is>
          <t>stability判定精度の問題。ピーク検出自体への影響はない。</t>
        </is>
      </c>
      <c r="Q2" s="2" t="inlineStr"/>
      <c r="R2" s="2" t="inlineStr"/>
    </row>
    <row r="3" ht="40" customHeight="1">
      <c r="A3" s="4" t="inlineStr">
        <is>
          <t>BUG-002</t>
        </is>
      </c>
      <c r="B3" s="4" t="inlineStr">
        <is>
          <t>findsummitsログファイル名に種別がない</t>
        </is>
      </c>
      <c r="C3" s="4" t="inlineStr">
        <is>
          <t>現在のログファイル名は&lt;meshcode&gt;.log（例: 5339.log）。prefetchログがprefetch_YYYYMMDD_HHMMSS.log形式であるのと同様に、種別が一目でわかるfindsummits_&lt;meshcode&gt;.log形式にすべき。mesh_analyze.cのlog_dirパス生成部分を修正。</t>
        </is>
      </c>
      <c r="D3" s="4" t="inlineStr">
        <is>
          <t>JJ1XGO</t>
        </is>
      </c>
      <c r="E3" s="4" t="inlineStr">
        <is>
          <t>2026-04-26</t>
        </is>
      </c>
      <c r="F3" s="4" t="inlineStr">
        <is>
          <t>IT</t>
        </is>
      </c>
      <c r="G3" s="4" t="inlineStr">
        <is>
          <t>解析エンジン</t>
        </is>
      </c>
      <c r="H3" s="4" t="inlineStr">
        <is>
          <t>src/mesh_analyze.c</t>
        </is>
      </c>
      <c r="I3" s="4" t="inlineStr">
        <is>
          <t>毎回</t>
        </is>
      </c>
      <c r="J3" s="3" t="inlineStr">
        <is>
          <t>低</t>
        </is>
      </c>
      <c r="K3" s="4" t="inlineStr">
        <is>
          <t>未対応</t>
        </is>
      </c>
      <c r="L3" s="4" t="inlineStr">
        <is>
          <t>JJ1XGO</t>
        </is>
      </c>
      <c r="M3" s="4" t="inlineStr">
        <is>
          <t>COD</t>
        </is>
      </c>
      <c r="N3" s="4" t="inlineStr">
        <is>
          <t>src/mesh_analyze.c</t>
        </is>
      </c>
      <c r="O3" s="4" t="inlineStr"/>
      <c r="P3" s="4" t="inlineStr"/>
      <c r="Q3" s="4" t="inlineStr"/>
      <c r="R3" s="4" t="inlineStr"/>
    </row>
    <row r="4" ht="40" customHeight="1">
      <c r="A4" s="2" t="inlineStr">
        <is>
          <t>BUG-003</t>
        </is>
      </c>
      <c r="B4" s="2" t="inlineStr">
        <is>
          <t>findsummitsログに開始・終了時刻がない</t>
        </is>
      </c>
      <c r="C4" s="2" t="inlineStr">
        <is>
          <t>$DATA_DIR/logs/&lt;meshcode&gt;.logに解析の開始時刻・終了時刻・所要時間が記録されていない。prefetchログには記載があるので同様に追加すべき。mesh_analyze.cのログ出力部分を修正。</t>
        </is>
      </c>
      <c r="D4" s="2" t="inlineStr">
        <is>
          <t>JJ1XGO</t>
        </is>
      </c>
      <c r="E4" s="2" t="inlineStr">
        <is>
          <t>2026-04-26</t>
        </is>
      </c>
      <c r="F4" s="2" t="inlineStr">
        <is>
          <t>IT</t>
        </is>
      </c>
      <c r="G4" s="2" t="inlineStr">
        <is>
          <t>解析エンジン</t>
        </is>
      </c>
      <c r="H4" s="2" t="inlineStr">
        <is>
          <t>src/mesh_analyze.c</t>
        </is>
      </c>
      <c r="I4" s="2" t="inlineStr">
        <is>
          <t>毎回</t>
        </is>
      </c>
      <c r="J4" s="3" t="inlineStr">
        <is>
          <t>低</t>
        </is>
      </c>
      <c r="K4" s="2" t="inlineStr">
        <is>
          <t>未対応</t>
        </is>
      </c>
      <c r="L4" s="2" t="inlineStr">
        <is>
          <t>JJ1XGO</t>
        </is>
      </c>
      <c r="M4" s="2" t="inlineStr">
        <is>
          <t>COD</t>
        </is>
      </c>
      <c r="N4" s="2" t="inlineStr">
        <is>
          <t>src/mesh_analyze.c</t>
        </is>
      </c>
      <c r="O4" s="2" t="inlineStr"/>
      <c r="P4" s="2" t="inlineStr">
        <is>
          <t>BUG-002と同じ箇所（mesh_analyze.c）の修正なのでまとめて対応推奨。</t>
        </is>
      </c>
      <c r="Q4" s="2" t="inlineStr"/>
      <c r="R4" s="2" t="inlineStr"/>
    </row>
    <row r="5" ht="40" customHeight="1">
      <c r="A5" s="4" t="inlineStr">
        <is>
          <t>BUG-004</t>
        </is>
      </c>
      <c r="B5" s="4" t="inlineStr">
        <is>
          <t>prefetchログファイル名の時刻がUTC表記</t>
        </is>
      </c>
      <c r="C5" s="4" t="inlineStr">
        <is>
          <t>ファイル名（例: prefetch_20260425_085043.log）は開始時刻のUTCから生成されているが、ls -lのmtimeはJST表示のため約9時間ずれて見える。ファイル名の時刻をJSTに統一するか、UTC前提ならドキュメント化が必要。</t>
        </is>
      </c>
      <c r="D5" s="4" t="inlineStr">
        <is>
          <t>JJ1XGO</t>
        </is>
      </c>
      <c r="E5" s="4" t="inlineStr">
        <is>
          <t>2026-04-26</t>
        </is>
      </c>
      <c r="F5" s="4" t="inlineStr">
        <is>
          <t>IT</t>
        </is>
      </c>
      <c r="G5" s="4" t="inlineStr">
        <is>
          <t>prefetch</t>
        </is>
      </c>
      <c r="H5" s="4" t="inlineStr">
        <is>
          <t>scripts/prefetch_tiles.py</t>
        </is>
      </c>
      <c r="I5" s="4" t="inlineStr">
        <is>
          <t>毎回</t>
        </is>
      </c>
      <c r="J5" s="3" t="inlineStr">
        <is>
          <t>低</t>
        </is>
      </c>
      <c r="K5" s="4" t="inlineStr">
        <is>
          <t>未対応</t>
        </is>
      </c>
      <c r="L5" s="4" t="inlineStr">
        <is>
          <t>JJ1XGO</t>
        </is>
      </c>
      <c r="M5" s="4" t="inlineStr">
        <is>
          <t>COD</t>
        </is>
      </c>
      <c r="N5" s="4" t="inlineStr">
        <is>
          <t>scripts/prefetch_tiles.py</t>
        </is>
      </c>
      <c r="O5" s="4" t="inlineStr"/>
      <c r="P5" s="4" t="inlineStr"/>
      <c r="Q5" s="4" t="inlineStr"/>
      <c r="R5" s="4" t="inlineStr"/>
    </row>
    <row r="6" ht="40" customHeight="1">
      <c r="A6" s="2" t="inlineStr">
        <is>
          <t>BUG-005</t>
        </is>
      </c>
      <c r="B6" s="2" t="inlineStr">
        <is>
          <t>タイル取得の最後の数枚が詰まる</t>
        </is>
      </c>
      <c r="C6" s="2" t="inlineStr">
        <is>
          <t>NOSIGNAL修正・LOW_SPEED設定を入れたが、それでも最後の1〜数枚が数分単位で止まることがある。原因不明。TIMEOUT/LOW_SPEED_TIMEの値調整、リトライロジックの追加、または直列フォールバック（最後のN枚は1スレッドで確実に処理）などを検討。</t>
        </is>
      </c>
      <c r="D6" s="2" t="inlineStr">
        <is>
          <t>JJ1XGO</t>
        </is>
      </c>
      <c r="E6" s="2" t="inlineStr">
        <is>
          <t>2026-04-26</t>
        </is>
      </c>
      <c r="F6" s="2" t="inlineStr">
        <is>
          <t>IT</t>
        </is>
      </c>
      <c r="G6" s="2" t="inlineStr">
        <is>
          <t>prefetch</t>
        </is>
      </c>
      <c r="H6" s="2" t="inlineStr">
        <is>
          <t>scripts/prefetch_tiles.py</t>
        </is>
      </c>
      <c r="I6" s="2" t="inlineStr">
        <is>
          <t>50%</t>
        </is>
      </c>
      <c r="J6" s="5" t="inlineStr">
        <is>
          <t>中</t>
        </is>
      </c>
      <c r="K6" s="2" t="inlineStr">
        <is>
          <t>未対応</t>
        </is>
      </c>
      <c r="L6" s="2" t="inlineStr">
        <is>
          <t>JJ1XGO</t>
        </is>
      </c>
      <c r="M6" s="2" t="inlineStr">
        <is>
          <t>IT</t>
        </is>
      </c>
      <c r="N6" s="2" t="inlineStr">
        <is>
          <t>scripts/prefetch_tiles.py</t>
        </is>
      </c>
      <c r="O6" s="2" t="inlineStr"/>
      <c r="P6" s="2" t="inlineStr"/>
      <c r="Q6" s="2" t="inlineStr"/>
      <c r="R6" s="2" t="inlineStr"/>
    </row>
    <row r="7" ht="40" customHeight="1">
      <c r="A7" s="6" t="inlineStr">
        <is>
          <t>BUG-006</t>
        </is>
      </c>
      <c r="B7" s="6" t="inlineStr">
        <is>
          <t>dem10bが存在しないタイルがある（GSI側未整備）</t>
        </is>
      </c>
      <c r="C7" s="6" t="inlineStr">
        <is>
          <t>prefetchしても一部タイルが取得できない。GSI側がHTTP 404を返すため（取得漏れではない）。9メッシュ範囲で欠損4,581枚すべてを30件サンプリングして全件404を確認済み。欠損は南部メッシュ（35.7°N以南）に集中。Cコードが NODATA(-9999)扱いで解析続行するため動作上の問題なし。</t>
        </is>
      </c>
      <c r="D7" s="6" t="inlineStr">
        <is>
          <t>JJ1XGO</t>
        </is>
      </c>
      <c r="E7" s="6" t="inlineStr">
        <is>
          <t>2026-04-25</t>
        </is>
      </c>
      <c r="F7" s="6" t="inlineStr">
        <is>
          <t>IT</t>
        </is>
      </c>
      <c r="G7" s="6" t="inlineStr">
        <is>
          <t>解析エンジン</t>
        </is>
      </c>
      <c r="H7" s="6" t="inlineStr">
        <is>
          <t>src/elevation.c / scripts/prefetch_tiles.py</t>
        </is>
      </c>
      <c r="I7" s="6" t="inlineStr">
        <is>
          <t>毎回</t>
        </is>
      </c>
      <c r="J7" s="3" t="inlineStr">
        <is>
          <t>低</t>
        </is>
      </c>
      <c r="K7" s="6" t="inlineStr">
        <is>
          <t>却下</t>
        </is>
      </c>
      <c r="L7" s="6" t="inlineStr">
        <is>
          <t>JJ1XGO</t>
        </is>
      </c>
      <c r="M7" s="6" t="inlineStr">
        <is>
          <t>IT</t>
        </is>
      </c>
      <c r="N7" s="6" t="inlineStr"/>
      <c r="O7" s="6" t="inlineStr">
        <is>
          <t>GSI側の問題のため対応不可。Wontfix。</t>
        </is>
      </c>
      <c r="P7" s="6" t="inlineStr">
        <is>
          <t>terrain PNGでの矩形ブロック状の異常はこれが原因（仕様として受容）。</t>
        </is>
      </c>
      <c r="Q7" s="6" t="inlineStr">
        <is>
          <t>2026-04-25</t>
        </is>
      </c>
      <c r="R7" s="6" t="inlineStr">
        <is>
          <t>2026-04-26</t>
        </is>
      </c>
    </row>
    <row r="8" ht="40" customHeight="1">
      <c r="A8" s="6" t="inlineStr">
        <is>
          <t>BUG-007</t>
        </is>
      </c>
      <c r="B8" s="6" t="inlineStr">
        <is>
          <t>load_mesh_tile() 前行ゼロリセットバグ（タイル上書き破壊）</t>
        </is>
      </c>
      <c r="C8" s="6" t="inlineStr">
        <is>
          <t>load_mesh_tile() でタイル書き込み後に前行を 0 リセットしていた。calloc で初期化済みのためリセット不要だが、タイルデータを上書き破壊していた致命的バグ。</t>
        </is>
      </c>
      <c r="D8" s="6" t="inlineStr">
        <is>
          <t>JJ1XGO</t>
        </is>
      </c>
      <c r="E8" s="6" t="inlineStr">
        <is>
          <t>2026-04-18</t>
        </is>
      </c>
      <c r="F8" s="6" t="inlineStr">
        <is>
          <t>COD</t>
        </is>
      </c>
      <c r="G8" s="6" t="inlineStr">
        <is>
          <t>解析エンジン</t>
        </is>
      </c>
      <c r="H8" s="6" t="inlineStr">
        <is>
          <t>src/mesh_analyze.c</t>
        </is>
      </c>
      <c r="I8" s="6" t="inlineStr">
        <is>
          <t>毎回</t>
        </is>
      </c>
      <c r="J8" s="7" t="inlineStr">
        <is>
          <t>高</t>
        </is>
      </c>
      <c r="K8" s="6" t="inlineStr">
        <is>
          <t>解決済</t>
        </is>
      </c>
      <c r="L8" s="6" t="inlineStr">
        <is>
          <t>JJ1XGO</t>
        </is>
      </c>
      <c r="M8" s="6" t="inlineStr">
        <is>
          <t>COD</t>
        </is>
      </c>
      <c r="N8" s="6" t="inlineStr">
        <is>
          <t>src/mesh_analyze.c</t>
        </is>
      </c>
      <c r="O8" s="6" t="inlineStr">
        <is>
          <t>calloc 初期化済みのため、リセットコードを削除。</t>
        </is>
      </c>
      <c r="P8" s="6" t="inlineStr"/>
      <c r="Q8" s="6" t="inlineStr">
        <is>
          <t>2026-04-18</t>
        </is>
      </c>
      <c r="R8" s="6" t="inlineStr">
        <is>
          <t>2026-04-27</t>
        </is>
      </c>
    </row>
    <row r="9" ht="40" customHeight="1">
      <c r="A9" s="6" t="inlineStr">
        <is>
          <t>BUG-008</t>
        </is>
      </c>
      <c r="B9" s="6" t="inlineStr">
        <is>
          <t>コル検出バグ（海面境界との接触を「コル」として誤検出）</t>
        </is>
      </c>
      <c r="C9" s="6" t="inlineStr">
        <is>
          <t>Union-Find の union() 時に peak_id &lt; 0（海面コンポーネント）のチェックが抜けていた。海面境界との接触を「コル」として誤検出し、山頂の比高が過小に計算されていた。</t>
        </is>
      </c>
      <c r="D9" s="6" t="inlineStr">
        <is>
          <t>JJ1XGO</t>
        </is>
      </c>
      <c r="E9" s="6" t="inlineStr">
        <is>
          <t>2026-04-19</t>
        </is>
      </c>
      <c r="F9" s="6" t="inlineStr">
        <is>
          <t>UT</t>
        </is>
      </c>
      <c r="G9" s="6" t="inlineStr">
        <is>
          <t>解析エンジン</t>
        </is>
      </c>
      <c r="H9" s="6" t="inlineStr">
        <is>
          <t>src/unionfind.c</t>
        </is>
      </c>
      <c r="I9" s="6" t="inlineStr">
        <is>
          <t>毎回</t>
        </is>
      </c>
      <c r="J9" s="7" t="inlineStr">
        <is>
          <t>高</t>
        </is>
      </c>
      <c r="K9" s="6" t="inlineStr">
        <is>
          <t>解決済</t>
        </is>
      </c>
      <c r="L9" s="6" t="inlineStr">
        <is>
          <t>JJ1XGO</t>
        </is>
      </c>
      <c r="M9" s="6" t="inlineStr">
        <is>
          <t>COD</t>
        </is>
      </c>
      <c r="N9" s="6" t="inlineStr">
        <is>
          <t>src/unionfind.c</t>
        </is>
      </c>
      <c r="O9" s="6" t="inlineStr">
        <is>
          <t>union 時に peak_id &lt; 0 チェックを追加して海面コンポーネントを除外。</t>
        </is>
      </c>
      <c r="P9" s="6" t="inlineStr"/>
      <c r="Q9" s="6" t="inlineStr">
        <is>
          <t>2026-04-19</t>
        </is>
      </c>
      <c r="R9" s="6" t="inlineStr">
        <is>
          <t>2026-04-27</t>
        </is>
      </c>
    </row>
    <row r="10" ht="40" customHeight="1">
      <c r="A10" s="6" t="inlineStr">
        <is>
          <t>BUG-009</t>
        </is>
      </c>
      <c r="B10" s="6" t="inlineStr">
        <is>
          <t>整数オーバーフロー/SIGSEGV（5239解析で2.7億px &gt; int32_t上限）</t>
        </is>
      </c>
      <c r="C10" s="6" t="inlineStr">
        <is>
          <t>ピクセルインデックスを int32_t で管理していたため、5239 解析（70,146×38,402px = 約2.7億px）で int32_t 上限（2.1億）を超えオーバーフロー → SIGSEGV で異常終了。</t>
        </is>
      </c>
      <c r="D10" s="6" t="inlineStr">
        <is>
          <t>JJ1XGO</t>
        </is>
      </c>
      <c r="E10" s="6" t="inlineStr">
        <is>
          <t>2026-04-24</t>
        </is>
      </c>
      <c r="F10" s="6" t="inlineStr">
        <is>
          <t>IT</t>
        </is>
      </c>
      <c r="G10" s="6" t="inlineStr">
        <is>
          <t>解析エンジン</t>
        </is>
      </c>
      <c r="H10" s="6" t="inlineStr">
        <is>
          <t>src/analyze.c, src/unionfind.h/c, src/elevation.c</t>
        </is>
      </c>
      <c r="I10" s="6" t="inlineStr">
        <is>
          <t>毎回</t>
        </is>
      </c>
      <c r="J10" s="7" t="inlineStr">
        <is>
          <t>高</t>
        </is>
      </c>
      <c r="K10" s="6" t="inlineStr">
        <is>
          <t>解決済</t>
        </is>
      </c>
      <c r="L10" s="6" t="inlineStr">
        <is>
          <t>JJ1XGO</t>
        </is>
      </c>
      <c r="M10" s="6" t="inlineStr">
        <is>
          <t>COD</t>
        </is>
      </c>
      <c r="N10" s="6" t="inlineStr">
        <is>
          <t>src/analyze.c</t>
        </is>
      </c>
      <c r="O10" s="6" t="inlineStr">
        <is>
          <t>ピクセルインデックスを uint32_t / size_t に変更。コミット: fb9fcfd</t>
        </is>
      </c>
      <c r="P10" s="6" t="inlineStr"/>
      <c r="Q10" s="6" t="inlineStr">
        <is>
          <t>2026-04-24</t>
        </is>
      </c>
      <c r="R10" s="6" t="inlineStr">
        <is>
          <t>2026-04-27</t>
        </is>
      </c>
    </row>
    <row r="11" ht="40" customHeight="1">
      <c r="A11" s="6" t="inlineStr">
        <is>
          <t>BUG-010</t>
        </is>
      </c>
      <c r="B11" s="6" t="inlineStr">
        <is>
          <t>dem10b URL誤設定（dem10b_png → dem_png）</t>
        </is>
      </c>
      <c r="C11" s="6" t="inlineStr">
        <is>
          <t>prefetch_tiles.py の GSI_DEM10B_URL が dem10b_png だったが、正しいサービス名は dem_png。HTTP 404 が返り続けていたが取得漏れと区別できなかった。</t>
        </is>
      </c>
      <c r="D11" s="6" t="inlineStr">
        <is>
          <t>JJ1XGO</t>
        </is>
      </c>
      <c r="E11" s="6" t="inlineStr">
        <is>
          <t>2026-04-24</t>
        </is>
      </c>
      <c r="F11" s="6" t="inlineStr">
        <is>
          <t>IT</t>
        </is>
      </c>
      <c r="G11" s="6" t="inlineStr">
        <is>
          <t>prefetch</t>
        </is>
      </c>
      <c r="H11" s="6" t="inlineStr">
        <is>
          <t>scripts/prefetch_tiles.py</t>
        </is>
      </c>
      <c r="I11" s="6" t="inlineStr">
        <is>
          <t>毎回</t>
        </is>
      </c>
      <c r="J11" s="5" t="inlineStr">
        <is>
          <t>中</t>
        </is>
      </c>
      <c r="K11" s="6" t="inlineStr">
        <is>
          <t>解決済</t>
        </is>
      </c>
      <c r="L11" s="6" t="inlineStr">
        <is>
          <t>JJ1XGO</t>
        </is>
      </c>
      <c r="M11" s="6" t="inlineStr">
        <is>
          <t>COD</t>
        </is>
      </c>
      <c r="N11" s="6" t="inlineStr">
        <is>
          <t>scripts/prefetch_tiles.py</t>
        </is>
      </c>
      <c r="O11" s="6" t="inlineStr">
        <is>
          <t>GSI_DEM10B_URL を dem_png に修正。動作確認済み（HTTP 200）。コミット: fb9fcfd</t>
        </is>
      </c>
      <c r="P11" s="6" t="inlineStr"/>
      <c r="Q11" s="6" t="inlineStr">
        <is>
          <t>2026-04-24</t>
        </is>
      </c>
      <c r="R11" s="6" t="inlineStr">
        <is>
          <t>2026-04-27</t>
        </is>
      </c>
    </row>
    <row r="12" ht="40" customHeight="1">
      <c r="A12" s="6" t="inlineStr">
        <is>
          <t>BUG-011</t>
        </is>
      </c>
      <c r="B12" s="6" t="inlineStr">
        <is>
          <t>dem10b座標変換バグ（terrain PNG 格子状パターンの原因）</t>
        </is>
      </c>
      <c r="C12" s="6" t="inlineStr">
        <is>
          <t>elev_fill_nodata_dem10b() と elev_load_with_overlap_8dir_with_dem10() の z15→z14 ピクセル変換で * TILE_PIX（256）を使っていた。dem10b は 256×256px なのに 512×512px として扱い、z14 タイルの右半分・下半分の NODATA が補完されず terrain PNG が格子状になっていた。</t>
        </is>
      </c>
      <c r="D12" s="6" t="inlineStr">
        <is>
          <t>JJ1XGO</t>
        </is>
      </c>
      <c r="E12" s="6" t="inlineStr">
        <is>
          <t>2026-04-25</t>
        </is>
      </c>
      <c r="F12" s="6" t="inlineStr">
        <is>
          <t>IT</t>
        </is>
      </c>
      <c r="G12" s="6" t="inlineStr">
        <is>
          <t>解析エンジン</t>
        </is>
      </c>
      <c r="H12" s="6" t="inlineStr">
        <is>
          <t>src/elevation.c</t>
        </is>
      </c>
      <c r="I12" s="6" t="inlineStr">
        <is>
          <t>毎回</t>
        </is>
      </c>
      <c r="J12" s="5" t="inlineStr">
        <is>
          <t>中</t>
        </is>
      </c>
      <c r="K12" s="6" t="inlineStr">
        <is>
          <t>解決済</t>
        </is>
      </c>
      <c r="L12" s="6" t="inlineStr">
        <is>
          <t>JJ1XGO</t>
        </is>
      </c>
      <c r="M12" s="6" t="inlineStr">
        <is>
          <t>COD</t>
        </is>
      </c>
      <c r="N12" s="6" t="inlineStr">
        <is>
          <t>src/elevation.c</t>
        </is>
      </c>
      <c r="O12" s="6" t="inlineStr">
        <is>
          <t>* TILE_PIX → * (TILE_PIX/2) + (px-1)/2 に修正。コミット: d0bb0b9</t>
        </is>
      </c>
      <c r="P12" s="6" t="inlineStr"/>
      <c r="Q12" s="6" t="inlineStr">
        <is>
          <t>2026-04-25</t>
        </is>
      </c>
      <c r="R12" s="6" t="inlineStr">
        <is>
          <t>2026-04-27</t>
        </is>
      </c>
    </row>
    <row r="13" ht="40" customHeight="1">
      <c r="A13" s="6" t="inlineStr">
        <is>
          <t>BUG-012</t>
        </is>
      </c>
      <c r="B13" s="6" t="inlineStr">
        <is>
          <t>DEFAULT_SUMMITSLIST パス誤設定（DATA_DIR/ref/ → プロジェクト直下）</t>
        </is>
      </c>
      <c r="C13" s="6" t="inlineStr">
        <is>
          <t>merge.py の DEFAULT_SUMMITSLIST が DATA_DIR 配下の ref/ を参照していた。DATA_DIR は環境依存パスのためプロジェクト同梱の summitslist.csv が見つからなかった。</t>
        </is>
      </c>
      <c r="D13" s="6" t="inlineStr">
        <is>
          <t>JJ1XGO</t>
        </is>
      </c>
      <c r="E13" s="6" t="inlineStr">
        <is>
          <t>2026-04-26</t>
        </is>
      </c>
      <c r="F13" s="6" t="inlineStr">
        <is>
          <t>IT</t>
        </is>
      </c>
      <c r="G13" s="6" t="inlineStr">
        <is>
          <t>merge.py</t>
        </is>
      </c>
      <c r="H13" s="6" t="inlineStr">
        <is>
          <t>scripts/merge.py</t>
        </is>
      </c>
      <c r="I13" s="6" t="inlineStr">
        <is>
          <t>毎回</t>
        </is>
      </c>
      <c r="J13" s="5" t="inlineStr">
        <is>
          <t>中</t>
        </is>
      </c>
      <c r="K13" s="6" t="inlineStr">
        <is>
          <t>解決済</t>
        </is>
      </c>
      <c r="L13" s="6" t="inlineStr">
        <is>
          <t>JJ1XGO</t>
        </is>
      </c>
      <c r="M13" s="6" t="inlineStr">
        <is>
          <t>COD</t>
        </is>
      </c>
      <c r="N13" s="6" t="inlineStr">
        <is>
          <t>scripts/merge.py</t>
        </is>
      </c>
      <c r="O13" s="6" t="inlineStr">
        <is>
          <t>Path(__file__).parent.parent / 'ref/summitslist.csv' に修正。</t>
        </is>
      </c>
      <c r="P13" s="6" t="inlineStr"/>
      <c r="Q13" s="6" t="inlineStr">
        <is>
          <t>2026-04-26</t>
        </is>
      </c>
      <c r="R13" s="6" t="inlineStr">
        <is>
          <t>2026-04-27</t>
        </is>
      </c>
    </row>
    <row r="14" ht="40" customHeight="1">
      <c r="A14" s="2" t="inlineStr">
        <is>
          <t>BUG-013</t>
        </is>
      </c>
      <c r="B14" s="2" t="inlineStr">
        <is>
          <t>analyze.c: malloc(AnalyzeResult) / malloc(peaks) 後の NULL チェック漏れ</t>
        </is>
      </c>
      <c r="C14" s="2" t="inlineStr">
        <is>
          <t>analyze_tile_data() 内の malloc(sizeof(AnalyzeResult)) と malloc(sizeof(PeakResult)*cnt) の後に NULL チェックがない（line 153-154）。メモリ枯渇時にヌルポインタアクセスでクラッシュする可能性がある。</t>
        </is>
      </c>
      <c r="D14" s="2" t="inlineStr">
        <is>
          <t>JJ1XGO</t>
        </is>
      </c>
      <c r="E14" s="2" t="inlineStr">
        <is>
          <t>2026-04-27</t>
        </is>
      </c>
      <c r="F14" s="2" t="inlineStr">
        <is>
          <t>COD</t>
        </is>
      </c>
      <c r="G14" s="2" t="inlineStr">
        <is>
          <t>解析エンジン</t>
        </is>
      </c>
      <c r="H14" s="2" t="inlineStr">
        <is>
          <t>src/analyze.c</t>
        </is>
      </c>
      <c r="I14" s="2" t="inlineStr">
        <is>
          <t>まれ</t>
        </is>
      </c>
      <c r="J14" s="3" t="inlineStr">
        <is>
          <t>低</t>
        </is>
      </c>
      <c r="K14" s="2" t="inlineStr">
        <is>
          <t>未対応</t>
        </is>
      </c>
      <c r="L14" s="2" t="inlineStr">
        <is>
          <t>JJ1XGO</t>
        </is>
      </c>
      <c r="M14" s="2" t="inlineStr">
        <is>
          <t>COD</t>
        </is>
      </c>
      <c r="N14" s="2" t="inlineStr">
        <is>
          <t>src/analyze.c</t>
        </is>
      </c>
      <c r="O14" s="2" t="inlineStr">
        <is>
          <t>malloc 後に if (!result) return NULL; / if (!result-&gt;peaks) { free(result); return NULL; } を追加。</t>
        </is>
      </c>
      <c r="P14" s="2" t="inlineStr"/>
      <c r="Q14" s="2" t="inlineStr"/>
      <c r="R14" s="2" t="inlineStr"/>
    </row>
  </sheetData>
  <dataValidations count="4">
    <dataValidation sqref="K2:K14" showDropDown="0" showInputMessage="0" showErrorMessage="0" allowBlank="1" type="list">
      <formula1>"未対応,対応中,対応完了,解決済,却下"</formula1>
    </dataValidation>
    <dataValidation sqref="J2:J14" showDropDown="0" showInputMessage="0" showErrorMessage="0" allowBlank="1" type="list">
      <formula1>"高,中,低"</formula1>
    </dataValidation>
    <dataValidation sqref="F2:F14" showDropDown="0" showInputMessage="0" showErrorMessage="0" allowBlank="1" type="list">
      <formula1>"URD,SRS,HLD,LLD,COD,UT,IT,ST,OPS"</formula1>
    </dataValidation>
    <dataValidation sqref="M2:M14" showDropDown="0" showInputMessage="0" showErrorMessage="0" allowBlank="1" type="list">
      <formula1>"URD,SRS,HLD,LLD,COD,UT,IT,ST,OPS"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12" customWidth="1" min="2" max="2"/>
  </cols>
  <sheetData>
    <row r="1">
      <c r="A1" s="8" t="inlineStr">
        <is>
          <t>KPI</t>
        </is>
      </c>
      <c r="B1" s="9" t="n"/>
    </row>
    <row r="2">
      <c r="A2" s="10" t="inlineStr">
        <is>
          <t>合計件数</t>
        </is>
      </c>
      <c r="B2" s="11" t="n">
        <v>13</v>
      </c>
    </row>
    <row r="3">
      <c r="A3" s="10" t="inlineStr">
        <is>
          <t>未解決件数</t>
        </is>
      </c>
      <c r="B3" s="11" t="n">
        <v>6</v>
      </c>
    </row>
    <row r="4">
      <c r="A4" s="10" t="inlineStr">
        <is>
          <t>解決済件数</t>
        </is>
      </c>
      <c r="B4" s="11" t="n">
        <v>6</v>
      </c>
    </row>
    <row r="5">
      <c r="A5" s="10" t="inlineStr">
        <is>
          <t>解決率</t>
        </is>
      </c>
      <c r="B5" s="11" t="inlineStr">
        <is>
          <t>46.2%</t>
        </is>
      </c>
    </row>
    <row r="7">
      <c r="A7" s="8" t="inlineStr">
        <is>
          <t>ステータス別</t>
        </is>
      </c>
      <c r="B7" s="9" t="n"/>
    </row>
    <row r="8">
      <c r="A8" s="10" t="inlineStr">
        <is>
          <t>未対応</t>
        </is>
      </c>
      <c r="B8" s="11" t="n">
        <v>6</v>
      </c>
    </row>
    <row r="9">
      <c r="A9" s="10" t="inlineStr">
        <is>
          <t>対応中</t>
        </is>
      </c>
      <c r="B9" s="11" t="n">
        <v>0</v>
      </c>
    </row>
    <row r="10">
      <c r="A10" s="10" t="inlineStr">
        <is>
          <t>対応完了</t>
        </is>
      </c>
      <c r="B10" s="11" t="n">
        <v>0</v>
      </c>
    </row>
    <row r="11">
      <c r="A11" s="10" t="inlineStr">
        <is>
          <t>解決済</t>
        </is>
      </c>
      <c r="B11" s="11" t="n">
        <v>6</v>
      </c>
    </row>
    <row r="12">
      <c r="A12" s="10" t="inlineStr">
        <is>
          <t>却下</t>
        </is>
      </c>
      <c r="B12" s="11" t="n">
        <v>1</v>
      </c>
    </row>
    <row r="14">
      <c r="A14" s="8" t="inlineStr">
        <is>
          <t>重大度別（未解決）</t>
        </is>
      </c>
      <c r="B14" s="9" t="n"/>
    </row>
    <row r="15">
      <c r="A15" s="10" t="inlineStr">
        <is>
          <t>高</t>
        </is>
      </c>
      <c r="B15" s="11" t="n">
        <v>0</v>
      </c>
    </row>
    <row r="16">
      <c r="A16" s="10" t="inlineStr">
        <is>
          <t>中</t>
        </is>
      </c>
      <c r="B16" s="11" t="n">
        <v>1</v>
      </c>
    </row>
    <row r="17">
      <c r="A17" s="10" t="inlineStr">
        <is>
          <t>低</t>
        </is>
      </c>
      <c r="B17" s="11" t="n">
        <v>5</v>
      </c>
    </row>
    <row r="19">
      <c r="A19" s="8" t="inlineStr">
        <is>
          <t>カテゴリ別（未解決）</t>
        </is>
      </c>
      <c r="B19" s="9" t="n"/>
    </row>
    <row r="20">
      <c r="A20" s="10" t="inlineStr">
        <is>
          <t>解析エンジン</t>
        </is>
      </c>
      <c r="B20" s="11" t="n">
        <v>3</v>
      </c>
    </row>
    <row r="21">
      <c r="A21" s="10" t="inlineStr">
        <is>
          <t>merge.py</t>
        </is>
      </c>
      <c r="B21" s="11" t="n">
        <v>1</v>
      </c>
    </row>
    <row r="22">
      <c r="A22" s="10" t="inlineStr">
        <is>
          <t>prefetch</t>
        </is>
      </c>
      <c r="B22" s="11" t="n">
        <v>2</v>
      </c>
    </row>
    <row r="24">
      <c r="A24" s="8" t="inlineStr">
        <is>
          <t>発生源ステージ別（未解決）</t>
        </is>
      </c>
      <c r="B24" s="9" t="n"/>
    </row>
    <row r="25">
      <c r="A25" s="10" t="inlineStr">
        <is>
          <t>COD</t>
        </is>
      </c>
      <c r="B25" s="11" t="n">
        <v>5</v>
      </c>
    </row>
    <row r="26">
      <c r="A26" s="10" t="inlineStr">
        <is>
          <t>IT</t>
        </is>
      </c>
      <c r="B26" s="1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s>
  <sheetData>
    <row r="1">
      <c r="A1" s="1" t="inlineStr">
        <is>
          <t>日付</t>
        </is>
      </c>
      <c r="B1" s="1" t="inlineStr">
        <is>
          <t>累計登録</t>
        </is>
      </c>
      <c r="C1" s="1" t="inlineStr">
        <is>
          <t>対応累計</t>
        </is>
      </c>
      <c r="D1" s="1" t="inlineStr">
        <is>
          <t>確認累計</t>
        </is>
      </c>
    </row>
    <row r="2">
      <c r="A2" s="12" t="n">
        <v>46130</v>
      </c>
      <c r="B2" t="n">
        <v>1</v>
      </c>
      <c r="C2" t="n">
        <v>1</v>
      </c>
      <c r="D2" t="n">
        <v>0</v>
      </c>
    </row>
    <row r="3">
      <c r="A3" s="12" t="n">
        <v>46131</v>
      </c>
      <c r="B3" t="n">
        <v>2</v>
      </c>
      <c r="C3" t="n">
        <v>2</v>
      </c>
      <c r="D3" t="n">
        <v>0</v>
      </c>
    </row>
    <row r="4">
      <c r="A4" s="12" t="n">
        <v>46132</v>
      </c>
      <c r="B4" t="n">
        <v>2</v>
      </c>
      <c r="C4" t="n">
        <v>2</v>
      </c>
      <c r="D4" t="n">
        <v>0</v>
      </c>
    </row>
    <row r="5">
      <c r="A5" s="12" t="n">
        <v>46133</v>
      </c>
      <c r="B5" t="n">
        <v>2</v>
      </c>
      <c r="C5" t="n">
        <v>2</v>
      </c>
      <c r="D5" t="n">
        <v>0</v>
      </c>
    </row>
    <row r="6">
      <c r="A6" s="12" t="n">
        <v>46134</v>
      </c>
      <c r="B6" t="n">
        <v>2</v>
      </c>
      <c r="C6" t="n">
        <v>2</v>
      </c>
      <c r="D6" t="n">
        <v>0</v>
      </c>
    </row>
    <row r="7">
      <c r="A7" s="12" t="n">
        <v>46135</v>
      </c>
      <c r="B7" t="n">
        <v>2</v>
      </c>
      <c r="C7" t="n">
        <v>2</v>
      </c>
      <c r="D7" t="n">
        <v>0</v>
      </c>
    </row>
    <row r="8">
      <c r="A8" s="12" t="n">
        <v>46136</v>
      </c>
      <c r="B8" t="n">
        <v>4</v>
      </c>
      <c r="C8" t="n">
        <v>4</v>
      </c>
      <c r="D8" t="n">
        <v>0</v>
      </c>
    </row>
    <row r="9">
      <c r="A9" s="12" t="n">
        <v>46137</v>
      </c>
      <c r="B9" t="n">
        <v>6</v>
      </c>
      <c r="C9" t="n">
        <v>6</v>
      </c>
      <c r="D9" t="n">
        <v>0</v>
      </c>
    </row>
    <row r="10">
      <c r="A10" s="12" t="n">
        <v>46138</v>
      </c>
      <c r="B10" t="n">
        <v>12</v>
      </c>
      <c r="C10" t="n">
        <v>7</v>
      </c>
      <c r="D10" t="n">
        <v>1</v>
      </c>
    </row>
    <row r="11">
      <c r="A11" s="12" t="n">
        <v>46139</v>
      </c>
      <c r="B11" t="n">
        <v>13</v>
      </c>
      <c r="C11" t="n">
        <v>7</v>
      </c>
      <c r="D11" t="n">
        <v>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2026-04-27T10:55:54Z</dcterms:created>
  <dcterms:modified xsi:type="dcterms:W3CDTF">2026-04-27T10:55:54Z</dcterms:modified>
</cp:coreProperties>
</file>