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バグ一覧" sheetId="1" state="visible" r:id="rId3"/>
    <sheet name="サマリー" sheetId="2" state="visible" r:id="rId4"/>
    <sheet name="変更履歴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<sst xmlns="http://schemas.openxmlformats.org/spreadsheetml/2006/main" count="134" uniqueCount="89">
  <si>
    <t xml:space="preserve">ID</t>
  </si>
  <si>
    <t xml:space="preserve">タイトル</t>
  </si>
  <si>
    <t xml:space="preserve">ステータス</t>
  </si>
  <si>
    <t xml:space="preserve">優先度</t>
  </si>
  <si>
    <t xml:space="preserve">重大度</t>
  </si>
  <si>
    <t xml:space="preserve">担当者</t>
  </si>
  <si>
    <t xml:space="preserve">報告者</t>
  </si>
  <si>
    <t xml:space="preserve">発見日</t>
  </si>
  <si>
    <t xml:space="preserve">期限</t>
  </si>
  <si>
    <t xml:space="preserve">解決日</t>
  </si>
  <si>
    <t xml:space="preserve">環境</t>
  </si>
  <si>
    <t xml:space="preserve">カテゴリ</t>
  </si>
  <si>
    <t xml:space="preserve">再現率</t>
  </si>
  <si>
    <t xml:space="preserve">説明</t>
  </si>
  <si>
    <t xml:space="preserve">備考</t>
  </si>
  <si>
    <t xml:space="preserve">BUG-001</t>
  </si>
  <si>
    <t xml:space="preserve">ログイン後にセッションが切れる</t>
  </si>
  <si>
    <t xml:space="preserve">対応中</t>
  </si>
  <si>
    <t xml:space="preserve">Critical</t>
  </si>
  <si>
    <t xml:space="preserve">高</t>
  </si>
  <si>
    <t xml:space="preserve">山田太郎</t>
  </si>
  <si>
    <t xml:space="preserve">鈴木花子</t>
  </si>
  <si>
    <t xml:space="preserve">Production</t>
  </si>
  <si>
    <t xml:space="preserve">認証</t>
  </si>
  <si>
    <t xml:space="preserve">毎回</t>
  </si>
  <si>
    <r>
      <rPr>
        <sz val="9"/>
        <rFont val="Noto Sans CJK SC"/>
        <family val="2"/>
      </rPr>
      <t xml:space="preserve">ユーザーがログイン後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秒でセッションが無効になる</t>
    </r>
  </si>
  <si>
    <r>
      <rPr>
        <sz val="9"/>
        <rFont val="Arial"/>
        <family val="0"/>
        <charset val="1"/>
      </rPr>
      <t xml:space="preserve">Safari/Chrome</t>
    </r>
    <r>
      <rPr>
        <sz val="9"/>
        <rFont val="Noto Sans CJK SC"/>
        <family val="2"/>
      </rPr>
      <t xml:space="preserve">で確認</t>
    </r>
  </si>
  <si>
    <t xml:space="preserve">BUG-002</t>
  </si>
  <si>
    <r>
      <rPr>
        <sz val="9"/>
        <rFont val="Noto Sans CJK SC"/>
        <family val="2"/>
      </rPr>
      <t xml:space="preserve">検索結果が</t>
    </r>
    <r>
      <rPr>
        <sz val="9"/>
        <rFont val="Arial"/>
        <family val="0"/>
        <charset val="1"/>
      </rPr>
      <t xml:space="preserve">0</t>
    </r>
    <r>
      <rPr>
        <sz val="9"/>
        <rFont val="Noto Sans CJK SC"/>
        <family val="2"/>
      </rPr>
      <t xml:space="preserve">件になる場合がある</t>
    </r>
  </si>
  <si>
    <t xml:space="preserve">未対応</t>
  </si>
  <si>
    <t xml:space="preserve">High</t>
  </si>
  <si>
    <t xml:space="preserve">佐藤次郎</t>
  </si>
  <si>
    <t xml:space="preserve">田中一郎</t>
  </si>
  <si>
    <t xml:space="preserve">Staging</t>
  </si>
  <si>
    <t xml:space="preserve">検索</t>
  </si>
  <si>
    <t xml:space="preserve">50%</t>
  </si>
  <si>
    <r>
      <rPr>
        <sz val="9"/>
        <rFont val="Noto Sans CJK SC"/>
        <family val="2"/>
      </rPr>
      <t xml:space="preserve">特定キーワードで検索すると</t>
    </r>
    <r>
      <rPr>
        <sz val="9"/>
        <rFont val="Arial"/>
        <family val="0"/>
        <charset val="1"/>
      </rPr>
      <t xml:space="preserve">DB</t>
    </r>
    <r>
      <rPr>
        <sz val="9"/>
        <rFont val="Noto Sans CJK SC"/>
        <family val="2"/>
      </rPr>
      <t xml:space="preserve">エラーが発生する</t>
    </r>
  </si>
  <si>
    <r>
      <rPr>
        <sz val="9"/>
        <rFont val="Noto Sans CJK SC"/>
        <family val="2"/>
      </rPr>
      <t xml:space="preserve">ログに</t>
    </r>
    <r>
      <rPr>
        <sz val="9"/>
        <rFont val="Arial"/>
        <family val="0"/>
        <charset val="1"/>
      </rPr>
      <t xml:space="preserve">SQL Error</t>
    </r>
    <r>
      <rPr>
        <sz val="9"/>
        <rFont val="Noto Sans CJK SC"/>
        <family val="2"/>
      </rPr>
      <t xml:space="preserve">あり</t>
    </r>
  </si>
  <si>
    <t xml:space="preserve">BUG-003</t>
  </si>
  <si>
    <r>
      <rPr>
        <sz val="9"/>
        <rFont val="Arial"/>
        <family val="0"/>
        <charset val="1"/>
      </rPr>
      <t xml:space="preserve">PDF</t>
    </r>
    <r>
      <rPr>
        <sz val="9"/>
        <rFont val="Noto Sans CJK SC"/>
        <family val="2"/>
      </rPr>
      <t xml:space="preserve">エクスポートでレイアウトが崩れる</t>
    </r>
  </si>
  <si>
    <t xml:space="preserve">確認中</t>
  </si>
  <si>
    <t xml:space="preserve">Medium</t>
  </si>
  <si>
    <t xml:space="preserve">中</t>
  </si>
  <si>
    <t xml:space="preserve">伊藤美咲</t>
  </si>
  <si>
    <t xml:space="preserve">帳票</t>
  </si>
  <si>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件以上のデータを</t>
    </r>
    <r>
      <rPr>
        <sz val="9"/>
        <rFont val="Arial"/>
        <family val="0"/>
        <charset val="1"/>
      </rPr>
      <t xml:space="preserve">PDF</t>
    </r>
    <r>
      <rPr>
        <sz val="9"/>
        <rFont val="Noto Sans CJK SC"/>
        <family val="2"/>
      </rPr>
      <t xml:space="preserve">出力すると表が崩れる</t>
    </r>
  </si>
  <si>
    <r>
      <rPr>
        <sz val="9"/>
        <rFont val="Arial"/>
        <family val="0"/>
        <charset val="1"/>
      </rPr>
      <t xml:space="preserve">A4</t>
    </r>
    <r>
      <rPr>
        <sz val="9"/>
        <rFont val="Noto Sans CJK SC"/>
        <family val="2"/>
      </rPr>
      <t xml:space="preserve">縦で確認</t>
    </r>
  </si>
  <si>
    <t xml:space="preserve">BUG-004</t>
  </si>
  <si>
    <t xml:space="preserve">メール通知が遅延する</t>
  </si>
  <si>
    <t xml:space="preserve">Low</t>
  </si>
  <si>
    <t xml:space="preserve">低</t>
  </si>
  <si>
    <t xml:space="preserve">通知</t>
  </si>
  <si>
    <t xml:space="preserve">30%</t>
  </si>
  <si>
    <r>
      <rPr>
        <sz val="9"/>
        <rFont val="Noto Sans CJK SC"/>
        <family val="2"/>
      </rPr>
      <t xml:space="preserve">通知メールが最大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時間遅れることがある</t>
    </r>
  </si>
  <si>
    <t xml:space="preserve">キュー詰まりか</t>
  </si>
  <si>
    <t xml:space="preserve">BUG-005</t>
  </si>
  <si>
    <r>
      <rPr>
        <sz val="9"/>
        <rFont val="Noto Sans CJK SC"/>
        <family val="2"/>
      </rPr>
      <t xml:space="preserve">画像アップロードが</t>
    </r>
    <r>
      <rPr>
        <sz val="9"/>
        <rFont val="Arial"/>
        <family val="0"/>
        <charset val="1"/>
      </rPr>
      <t xml:space="preserve">500</t>
    </r>
    <r>
      <rPr>
        <sz val="9"/>
        <rFont val="Noto Sans CJK SC"/>
        <family val="2"/>
      </rPr>
      <t xml:space="preserve">エラー</t>
    </r>
  </si>
  <si>
    <t xml:space="preserve">解決済</t>
  </si>
  <si>
    <t xml:space="preserve">ファイル</t>
  </si>
  <si>
    <r>
      <rPr>
        <sz val="9"/>
        <rFont val="Arial"/>
        <family val="0"/>
        <charset val="1"/>
      </rPr>
      <t xml:space="preserve">5MB</t>
    </r>
    <r>
      <rPr>
        <sz val="9"/>
        <rFont val="Noto Sans CJK SC"/>
        <family val="2"/>
      </rPr>
      <t xml:space="preserve">以上の画像でサーバーエラーが発生</t>
    </r>
  </si>
  <si>
    <t xml:space="preserve">最大サイズ制限を追加</t>
  </si>
  <si>
    <t xml:space="preserve">BUG-006</t>
  </si>
  <si>
    <t xml:space="preserve">ダッシュボードの数値が更新されない</t>
  </si>
  <si>
    <t xml:space="preserve">却下</t>
  </si>
  <si>
    <t xml:space="preserve">UI</t>
  </si>
  <si>
    <t xml:space="preserve">ページ再読み込みしないと数値が変わらない</t>
  </si>
  <si>
    <r>
      <rPr>
        <sz val="9"/>
        <rFont val="Noto Sans CJK SC"/>
        <family val="2"/>
      </rPr>
      <t xml:space="preserve">仕様通りのため</t>
    </r>
    <r>
      <rPr>
        <sz val="9"/>
        <rFont val="Arial"/>
        <family val="0"/>
        <charset val="1"/>
      </rPr>
      <t xml:space="preserve">Wontfix</t>
    </r>
  </si>
  <si>
    <t xml:space="preserve">🐛  バグ管理 ダッシュボード</t>
  </si>
  <si>
    <t xml:space="preserve">ステータス別集計</t>
  </si>
  <si>
    <t xml:space="preserve">優先度別集計</t>
  </si>
  <si>
    <t xml:space="preserve">合計</t>
  </si>
  <si>
    <t xml:space="preserve">KPI</t>
  </si>
  <si>
    <t xml:space="preserve">未解決バグ数</t>
  </si>
  <si>
    <r>
      <rPr>
        <sz val="10"/>
        <rFont val="Arial"/>
        <family val="0"/>
        <charset val="1"/>
      </rPr>
      <t xml:space="preserve">Critical</t>
    </r>
    <r>
      <rPr>
        <sz val="10"/>
        <rFont val="Noto Sans CJK SC"/>
        <family val="2"/>
      </rPr>
      <t xml:space="preserve">件数</t>
    </r>
  </si>
  <si>
    <t xml:space="preserve">解決率</t>
  </si>
  <si>
    <r>
      <rPr>
        <b val="true"/>
        <sz val="10"/>
        <color rgb="FFFFFFFF"/>
        <rFont val="Noto Sans CJK SC"/>
        <family val="2"/>
      </rPr>
      <t xml:space="preserve">バグ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</si>
  <si>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変更日時</t>
  </si>
  <si>
    <t xml:space="preserve">変更者</t>
  </si>
  <si>
    <t xml:space="preserve">変更前ステータス</t>
  </si>
  <si>
    <t xml:space="preserve">変更後ステータス</t>
  </si>
  <si>
    <t xml:space="preserve">コメント</t>
  </si>
  <si>
    <t xml:space="preserve">2025-04-16 10:30</t>
  </si>
  <si>
    <t xml:space="preserve">修正をデプロイしました。確認をお願いします。</t>
  </si>
  <si>
    <t xml:space="preserve">2025-04-17 14:00</t>
  </si>
  <si>
    <t xml:space="preserve">本番環境で問題ないことを確認しました。</t>
  </si>
  <si>
    <t xml:space="preserve">2025-04-18 09:15</t>
  </si>
  <si>
    <t xml:space="preserve">原因特定。セッションタイムアウト設定のバグ。</t>
  </si>
  <si>
    <t xml:space="preserve">2025-04-21 16:45</t>
  </si>
  <si>
    <t xml:space="preserve">仕様確認の結果、意図した動作のため却下。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</si>
</sst>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1F4E79"/>
      <name val="Arial"/>
      <family val="0"/>
      <charset val="1"/>
    </font>
    <font>
      <sz val="9"/>
      <name val="Noto Sans CJK SC"/>
      <family val="2"/>
    </font>
    <font>
      <b val="true"/>
      <sz val="9"/>
      <color rgb="FFFF9900"/>
      <name val="Noto Sans CJK SC"/>
      <family val="2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4444"/>
      <name val="Noto Sans CJK SC"/>
      <family val="2"/>
    </font>
    <font>
      <b val="true"/>
      <sz val="9"/>
      <color rgb="FF4BACC6"/>
      <name val="Noto Sans CJK SC"/>
      <family val="2"/>
    </font>
    <font>
      <b val="true"/>
      <sz val="9"/>
      <color rgb="FF70AD47"/>
      <name val="Noto Sans CJK SC"/>
      <family val="2"/>
    </font>
    <font>
      <b val="true"/>
      <sz val="9"/>
      <color rgb="FF808080"/>
      <name val="Noto Sans CJK SC"/>
      <family val="2"/>
    </font>
    <font>
      <b val="true"/>
      <sz val="18"/>
      <color rgb="FF1F4E79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color rgb="FFFF4444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9900"/>
      <name val="Noto Sans CJK SC"/>
      <family val="2"/>
    </font>
    <font>
      <b val="true"/>
      <sz val="10"/>
      <color rgb="FF4BACC6"/>
      <name val="Noto Sans CJK SC"/>
      <family val="2"/>
    </font>
    <font>
      <b val="true"/>
      <sz val="10"/>
      <color rgb="FF70AD47"/>
      <name val="Noto Sans CJK SC"/>
      <family val="2"/>
    </font>
    <font>
      <b val="true"/>
      <sz val="10"/>
      <color rgb="FF808080"/>
      <name val="Noto Sans CJK SC"/>
      <family val="2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0F0F0"/>
      </patternFill>
    </fill>
    <fill>
      <patternFill patternType="solid">
        <fgColor rgb="FFFFE0E0"/>
        <bgColor rgb="FFFFF0E0"/>
      </patternFill>
    </fill>
    <fill>
      <patternFill patternType="solid">
        <fgColor rgb="FFFFFFFF"/>
        <bgColor rgb="FFF8F8F8"/>
      </patternFill>
    </fill>
    <fill>
      <patternFill patternType="solid">
        <fgColor rgb="FFFFF0E0"/>
        <bgColor rgb="FFFFFBE0"/>
      </patternFill>
    </fill>
    <fill>
      <patternFill patternType="solid">
        <fgColor rgb="FFFFFBE0"/>
        <bgColor rgb="FFFFF0E0"/>
      </patternFill>
    </fill>
    <fill>
      <patternFill patternType="solid">
        <fgColor rgb="FFE8F5E9"/>
        <bgColor rgb="FFF0F0F0"/>
      </patternFill>
    </fill>
    <fill>
      <patternFill patternType="solid">
        <fgColor rgb="FFF0F0F0"/>
        <bgColor rgb="FFEBF3FB"/>
      </patternFill>
    </fill>
    <fill>
      <patternFill patternType="solid">
        <fgColor rgb="FFF8F8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0"/>
      <rgbColor rgb="FFE8F5E9"/>
      <rgbColor rgb="FF660066"/>
      <rgbColor rgb="FFFF8080"/>
      <rgbColor rgb="FF0066CC"/>
      <rgbColor rgb="FFF8F8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0F0F0"/>
      <rgbColor rgb="FFFFF0E0"/>
      <rgbColor rgb="FF99CCFF"/>
      <rgbColor rgb="FFFF99CC"/>
      <rgbColor rgb="FFCC99FF"/>
      <rgbColor rgb="FFFFE0E0"/>
      <rgbColor rgb="FF3366FF"/>
      <rgbColor rgb="FF4BACC6"/>
      <rgbColor rgb="FF99CC00"/>
      <rgbColor rgb="FFFFCC00"/>
      <rgbColor rgb="FFFF9900"/>
      <rgbColor rgb="FFFF4444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11" min="6" style="0" width="14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9.5" hidden="false" customHeight="true" outlineLevel="0" collapsed="false">
      <c r="A2" s="3" t="s">
        <v>15</v>
      </c>
      <c r="B2" s="4" t="s">
        <v>16</v>
      </c>
      <c r="C2" s="5" t="s">
        <v>17</v>
      </c>
      <c r="D2" s="6" t="s">
        <v>18</v>
      </c>
      <c r="E2" s="7" t="s">
        <v>19</v>
      </c>
      <c r="F2" s="7" t="s">
        <v>20</v>
      </c>
      <c r="G2" s="7" t="s">
        <v>21</v>
      </c>
      <c r="H2" s="8" t="n">
        <v>46128</v>
      </c>
      <c r="I2" s="8" t="n">
        <v>46140</v>
      </c>
      <c r="J2" s="7"/>
      <c r="K2" s="9" t="s">
        <v>22</v>
      </c>
      <c r="L2" s="7" t="s">
        <v>23</v>
      </c>
      <c r="M2" s="7" t="s">
        <v>24</v>
      </c>
      <c r="N2" s="4" t="s">
        <v>25</v>
      </c>
      <c r="O2" s="10" t="s">
        <v>26</v>
      </c>
    </row>
    <row r="3" customFormat="false" ht="19.5" hidden="false" customHeight="true" outlineLevel="0" collapsed="false">
      <c r="A3" s="11" t="s">
        <v>27</v>
      </c>
      <c r="B3" s="12" t="s">
        <v>28</v>
      </c>
      <c r="C3" s="13" t="s">
        <v>29</v>
      </c>
      <c r="D3" s="14" t="s">
        <v>30</v>
      </c>
      <c r="E3" s="15" t="s">
        <v>19</v>
      </c>
      <c r="F3" s="15" t="s">
        <v>31</v>
      </c>
      <c r="G3" s="15" t="s">
        <v>32</v>
      </c>
      <c r="H3" s="16" t="n">
        <v>46131</v>
      </c>
      <c r="I3" s="16" t="n">
        <v>46143</v>
      </c>
      <c r="J3" s="15"/>
      <c r="K3" s="17" t="s">
        <v>33</v>
      </c>
      <c r="L3" s="15" t="s">
        <v>34</v>
      </c>
      <c r="M3" s="17" t="s">
        <v>35</v>
      </c>
      <c r="N3" s="12" t="s">
        <v>36</v>
      </c>
      <c r="O3" s="12" t="s">
        <v>37</v>
      </c>
    </row>
    <row r="4" customFormat="false" ht="19.5" hidden="false" customHeight="true" outlineLevel="0" collapsed="false">
      <c r="A4" s="3" t="s">
        <v>38</v>
      </c>
      <c r="B4" s="10" t="s">
        <v>39</v>
      </c>
      <c r="C4" s="18" t="s">
        <v>40</v>
      </c>
      <c r="D4" s="19" t="s">
        <v>41</v>
      </c>
      <c r="E4" s="7" t="s">
        <v>42</v>
      </c>
      <c r="F4" s="7" t="s">
        <v>43</v>
      </c>
      <c r="G4" s="7" t="s">
        <v>32</v>
      </c>
      <c r="H4" s="8" t="n">
        <v>46133</v>
      </c>
      <c r="I4" s="8" t="n">
        <v>46145</v>
      </c>
      <c r="J4" s="7"/>
      <c r="K4" s="9" t="s">
        <v>22</v>
      </c>
      <c r="L4" s="7" t="s">
        <v>44</v>
      </c>
      <c r="M4" s="7" t="s">
        <v>24</v>
      </c>
      <c r="N4" s="10" t="s">
        <v>45</v>
      </c>
      <c r="O4" s="10" t="s">
        <v>46</v>
      </c>
    </row>
    <row r="5" customFormat="false" ht="19.5" hidden="false" customHeight="true" outlineLevel="0" collapsed="false">
      <c r="A5" s="11" t="s">
        <v>47</v>
      </c>
      <c r="B5" s="12" t="s">
        <v>48</v>
      </c>
      <c r="C5" s="20" t="s">
        <v>17</v>
      </c>
      <c r="D5" s="21" t="s">
        <v>49</v>
      </c>
      <c r="E5" s="15" t="s">
        <v>50</v>
      </c>
      <c r="F5" s="15" t="s">
        <v>20</v>
      </c>
      <c r="G5" s="15" t="s">
        <v>21</v>
      </c>
      <c r="H5" s="16" t="n">
        <v>46135</v>
      </c>
      <c r="I5" s="16" t="n">
        <v>46152</v>
      </c>
      <c r="J5" s="15"/>
      <c r="K5" s="17" t="s">
        <v>22</v>
      </c>
      <c r="L5" s="15" t="s">
        <v>51</v>
      </c>
      <c r="M5" s="17" t="s">
        <v>52</v>
      </c>
      <c r="N5" s="12" t="s">
        <v>53</v>
      </c>
      <c r="O5" s="12" t="s">
        <v>54</v>
      </c>
    </row>
    <row r="6" customFormat="false" ht="19.5" hidden="false" customHeight="true" outlineLevel="0" collapsed="false">
      <c r="A6" s="22" t="s">
        <v>55</v>
      </c>
      <c r="B6" s="23" t="s">
        <v>56</v>
      </c>
      <c r="C6" s="24" t="s">
        <v>57</v>
      </c>
      <c r="D6" s="14" t="s">
        <v>30</v>
      </c>
      <c r="E6" s="25" t="s">
        <v>19</v>
      </c>
      <c r="F6" s="25" t="s">
        <v>31</v>
      </c>
      <c r="G6" s="25" t="s">
        <v>43</v>
      </c>
      <c r="H6" s="26" t="n">
        <v>46118</v>
      </c>
      <c r="I6" s="26" t="n">
        <v>46123</v>
      </c>
      <c r="J6" s="26" t="n">
        <v>46124</v>
      </c>
      <c r="K6" s="27" t="s">
        <v>22</v>
      </c>
      <c r="L6" s="25" t="s">
        <v>58</v>
      </c>
      <c r="M6" s="25" t="s">
        <v>24</v>
      </c>
      <c r="N6" s="28" t="s">
        <v>59</v>
      </c>
      <c r="O6" s="23" t="s">
        <v>60</v>
      </c>
    </row>
    <row r="7" customFormat="false" ht="19.5" hidden="false" customHeight="true" outlineLevel="0" collapsed="false">
      <c r="A7" s="22" t="s">
        <v>61</v>
      </c>
      <c r="B7" s="23" t="s">
        <v>62</v>
      </c>
      <c r="C7" s="29" t="s">
        <v>63</v>
      </c>
      <c r="D7" s="19" t="s">
        <v>41</v>
      </c>
      <c r="E7" s="25" t="s">
        <v>50</v>
      </c>
      <c r="F7" s="25" t="s">
        <v>43</v>
      </c>
      <c r="G7" s="25" t="s">
        <v>20</v>
      </c>
      <c r="H7" s="26" t="n">
        <v>46123</v>
      </c>
      <c r="I7" s="25"/>
      <c r="J7" s="26" t="n">
        <v>46128</v>
      </c>
      <c r="K7" s="27" t="s">
        <v>33</v>
      </c>
      <c r="L7" s="27" t="s">
        <v>64</v>
      </c>
      <c r="M7" s="25" t="s">
        <v>24</v>
      </c>
      <c r="N7" s="23" t="s">
        <v>65</v>
      </c>
      <c r="O7" s="23" t="s">
        <v>66</v>
      </c>
    </row>
  </sheetData>
  <dataValidations count="3">
    <dataValidation allowBlank="false" errorStyle="stop" operator="between" showDropDown="false" showErrorMessage="false" showInputMessage="false" sqref="C2:C1000" type="list">
      <formula1>"未対応,対応中,確認中,解決済,却下"</formula1>
      <formula2>0</formula2>
    </dataValidation>
    <dataValidation allowBlank="false" errorStyle="stop" operator="between" showDropDown="false" showErrorMessage="false" showInputMessage="false" sqref="D2:D1000" type="list">
      <formula1>"Critical,High,Medium,Low"</formula1>
      <formula2>0</formula2>
    </dataValidation>
    <dataValidation allowBlank="false" errorStyle="stop" operator="between" showDropDown="false" showErrorMessage="false" showInputMessage="false" sqref="E2:E1000" type="list">
      <formula1>"高,中,低"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20"/>
  </cols>
  <sheetData>
    <row r="2" customFormat="false" ht="39.75" hidden="false" customHeight="true" outlineLevel="0" collapsed="false">
      <c r="B2" s="30" t="s">
        <v>67</v>
      </c>
      <c r="C2" s="30"/>
      <c r="D2" s="30"/>
      <c r="E2" s="30"/>
      <c r="F2" s="30"/>
      <c r="G2" s="30"/>
      <c r="H2" s="30"/>
    </row>
    <row r="4" customFormat="false" ht="15" hidden="false" customHeight="false" outlineLevel="0" collapsed="false">
      <c r="B4" s="31" t="s">
        <v>68</v>
      </c>
      <c r="C4" s="31"/>
      <c r="E4" s="31" t="s">
        <v>69</v>
      </c>
      <c r="F4" s="31"/>
    </row>
    <row r="5" customFormat="false" ht="21.75" hidden="false" customHeight="true" outlineLevel="0" collapsed="false">
      <c r="B5" s="32" t="s">
        <v>29</v>
      </c>
      <c r="C5" s="33" t="n">
        <f aca="false">COUNTIF(バグ一覧!C:C,"未対応")</f>
        <v>1</v>
      </c>
      <c r="E5" s="34" t="s">
        <v>18</v>
      </c>
      <c r="F5" s="35" t="n">
        <f aca="false">COUNTIF(バグ一覧!D:D,"Critical")</f>
        <v>1</v>
      </c>
    </row>
    <row r="6" customFormat="false" ht="21.75" hidden="false" customHeight="true" outlineLevel="0" collapsed="false">
      <c r="B6" s="36" t="s">
        <v>17</v>
      </c>
      <c r="C6" s="33" t="n">
        <f aca="false">COUNTIF(バグ一覧!C:C,"対応中")</f>
        <v>2</v>
      </c>
      <c r="E6" s="37" t="s">
        <v>30</v>
      </c>
      <c r="F6" s="38" t="n">
        <f aca="false">COUNTIF(バグ一覧!D:D,"High")</f>
        <v>2</v>
      </c>
    </row>
    <row r="7" customFormat="false" ht="21.75" hidden="false" customHeight="true" outlineLevel="0" collapsed="false">
      <c r="B7" s="39" t="s">
        <v>40</v>
      </c>
      <c r="C7" s="33" t="n">
        <f aca="false">COUNTIF(バグ一覧!C:C,"確認中")</f>
        <v>1</v>
      </c>
      <c r="E7" s="40" t="s">
        <v>41</v>
      </c>
      <c r="F7" s="41" t="n">
        <f aca="false">COUNTIF(バグ一覧!D:D,"Medium")</f>
        <v>2</v>
      </c>
    </row>
    <row r="8" customFormat="false" ht="21.75" hidden="false" customHeight="true" outlineLevel="0" collapsed="false">
      <c r="B8" s="42" t="s">
        <v>57</v>
      </c>
      <c r="C8" s="33" t="n">
        <f aca="false">COUNTIF(バグ一覧!C:C,"解決済")</f>
        <v>1</v>
      </c>
      <c r="E8" s="43" t="s">
        <v>49</v>
      </c>
      <c r="F8" s="44" t="n">
        <f aca="false">COUNTIF(バグ一覧!D:D,"Low")</f>
        <v>1</v>
      </c>
    </row>
    <row r="9" customFormat="false" ht="21.75" hidden="false" customHeight="true" outlineLevel="0" collapsed="false">
      <c r="B9" s="45" t="s">
        <v>63</v>
      </c>
      <c r="C9" s="33" t="n">
        <f aca="false">COUNTIF(バグ一覧!C:C,"却下")</f>
        <v>1</v>
      </c>
    </row>
    <row r="10" customFormat="false" ht="21.75" hidden="false" customHeight="true" outlineLevel="0" collapsed="false">
      <c r="B10" s="46" t="s">
        <v>70</v>
      </c>
      <c r="C10" s="47" t="n">
        <f aca="false">SUM(C5:C9)</f>
        <v>6</v>
      </c>
    </row>
    <row r="12" customFormat="false" ht="27.75" hidden="false" customHeight="true" outlineLevel="0" collapsed="false">
      <c r="B12" s="48" t="s">
        <v>71</v>
      </c>
      <c r="C12" s="48"/>
      <c r="D12" s="48"/>
      <c r="E12" s="48"/>
      <c r="F12" s="48"/>
    </row>
    <row r="13" customFormat="false" ht="21.75" hidden="false" customHeight="true" outlineLevel="0" collapsed="false">
      <c r="B13" s="49" t="s">
        <v>72</v>
      </c>
      <c r="C13" s="49"/>
      <c r="D13" s="49"/>
      <c r="E13" s="50" t="n">
        <f aca="false">COUNTIF(バグ一覧!C:C,"未対応")+COUNTIF(バグ一覧!C:C,"対応中")+COUNTIF(バグ一覧!C:C,"確認中")</f>
        <v>4</v>
      </c>
      <c r="F13" s="50"/>
    </row>
    <row r="14" customFormat="false" ht="21.75" hidden="false" customHeight="true" outlineLevel="0" collapsed="false">
      <c r="B14" s="51" t="s">
        <v>73</v>
      </c>
      <c r="C14" s="51"/>
      <c r="D14" s="51"/>
      <c r="E14" s="50" t="n">
        <f aca="false">COUNTIF(バグ一覧!D:D,"Critical")</f>
        <v>1</v>
      </c>
      <c r="F14" s="50"/>
    </row>
    <row r="15" customFormat="false" ht="21.75" hidden="false" customHeight="true" outlineLevel="0" collapsed="false">
      <c r="B15" s="49" t="s">
        <v>74</v>
      </c>
      <c r="C15" s="49"/>
      <c r="D15" s="49"/>
      <c r="E15" s="50" t="str">
        <f aca="false">IFERROR(TEXT(COUNTIF(バグ一覧!C:C,"解決済")/MAX(COUNTA(バグ一覧!A:A)-1,1),"0.0%"),"-")</f>
        <v>16.7%</v>
      </c>
      <c r="F15" s="50"/>
    </row>
  </sheetData>
  <mergeCells count="10">
    <mergeCell ref="B2:H2"/>
    <mergeCell ref="B4:C4"/>
    <mergeCell ref="E4:F4"/>
    <mergeCell ref="B12:F12"/>
    <mergeCell ref="B13:D13"/>
    <mergeCell ref="E13:F13"/>
    <mergeCell ref="B14:D14"/>
    <mergeCell ref="E14:F14"/>
    <mergeCell ref="B15:D15"/>
    <mergeCell ref="E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52" t="s">
        <v>75</v>
      </c>
      <c r="B1" s="52" t="s">
        <v>76</v>
      </c>
      <c r="C1" s="52" t="s">
        <v>77</v>
      </c>
      <c r="D1" s="52" t="s">
        <v>78</v>
      </c>
      <c r="E1" s="52" t="s">
        <v>79</v>
      </c>
      <c r="F1" s="52" t="s">
        <v>80</v>
      </c>
    </row>
    <row r="2" customFormat="false" ht="15" hidden="false" customHeight="false" outlineLevel="0" collapsed="false">
      <c r="A2" s="9" t="s">
        <v>55</v>
      </c>
      <c r="B2" s="9" t="s">
        <v>81</v>
      </c>
      <c r="C2" s="7" t="s">
        <v>31</v>
      </c>
      <c r="D2" s="7" t="s">
        <v>17</v>
      </c>
      <c r="E2" s="7" t="s">
        <v>40</v>
      </c>
      <c r="F2" s="4" t="s">
        <v>82</v>
      </c>
    </row>
    <row r="3" customFormat="false" ht="15" hidden="false" customHeight="false" outlineLevel="0" collapsed="false">
      <c r="A3" s="17" t="s">
        <v>55</v>
      </c>
      <c r="B3" s="17" t="s">
        <v>83</v>
      </c>
      <c r="C3" s="15" t="s">
        <v>43</v>
      </c>
      <c r="D3" s="15" t="s">
        <v>40</v>
      </c>
      <c r="E3" s="15" t="s">
        <v>57</v>
      </c>
      <c r="F3" s="12" t="s">
        <v>84</v>
      </c>
    </row>
    <row r="4" customFormat="false" ht="15" hidden="false" customHeight="false" outlineLevel="0" collapsed="false">
      <c r="A4" s="9" t="s">
        <v>15</v>
      </c>
      <c r="B4" s="9" t="s">
        <v>85</v>
      </c>
      <c r="C4" s="7" t="s">
        <v>20</v>
      </c>
      <c r="D4" s="7" t="s">
        <v>29</v>
      </c>
      <c r="E4" s="7" t="s">
        <v>17</v>
      </c>
      <c r="F4" s="4" t="s">
        <v>86</v>
      </c>
    </row>
    <row r="5" customFormat="false" ht="15" hidden="false" customHeight="false" outlineLevel="0" collapsed="false">
      <c r="A5" s="17" t="s">
        <v>61</v>
      </c>
      <c r="B5" s="17" t="s">
        <v>87</v>
      </c>
      <c r="C5" s="15" t="s">
        <v>32</v>
      </c>
      <c r="D5" s="15" t="s">
        <v>29</v>
      </c>
      <c r="E5" s="15" t="s">
        <v>63</v>
      </c>
      <c r="F5" s="1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2026-04-26T08:52:30Z</dcterms:created>
  <dc:creator>openpyxl</dc:creator>
  <dc:description/>
  <dc:language>en-US</dc:language>
  <cp:lastModifiedBy/>
  <dcterms:modified xsi:type="dcterms:W3CDTF">2026-04-26T08:52:30Z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